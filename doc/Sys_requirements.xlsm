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Departamento Electrónica\11_EPC\00_SYS\"/>
    </mc:Choice>
  </mc:AlternateContent>
  <xr:revisionPtr revIDLastSave="0" documentId="13_ncr:1_{6A2157A2-E601-4A8A-862A-4BAF6A23443E}" xr6:coauthVersionLast="36" xr6:coauthVersionMax="36" xr10:uidLastSave="{00000000-0000-0000-0000-000000000000}"/>
  <bookViews>
    <workbookView xWindow="0" yWindow="0" windowWidth="28800" windowHeight="12105" activeTab="2" xr2:uid="{C7583FCC-DD0A-4D4F-98DC-24DBAC4119CA}"/>
  </bookViews>
  <sheets>
    <sheet name="Info" sheetId="7" r:id="rId1"/>
    <sheet name="Acronyms" sheetId="6" r:id="rId2"/>
    <sheet name="SYS_Req" sheetId="1" r:id="rId3"/>
    <sheet name="SW_Req" sheetId="2" r:id="rId4"/>
    <sheet name="HW_Req" sheetId="10" r:id="rId5"/>
    <sheet name="SW_Arch" sheetId="3" r:id="rId6"/>
    <sheet name="HW_Arch" sheetId="5" r:id="rId7"/>
    <sheet name="Naming_Convention" sheetId="11" r:id="rId8"/>
    <sheet name="IO" sheetId="4" r:id="rId9"/>
    <sheet name="Registers" sheetId="12" r:id="rId10"/>
    <sheet name="Messages to EPC" sheetId="13" r:id="rId11"/>
    <sheet name="Messages from EPC" sheetId="14" r:id="rId12"/>
    <sheet name="HW_Vers" sheetId="15" r:id="rId13"/>
  </sheets>
  <functionGroups builtInGroupCount="19"/>
  <definedNames>
    <definedName name="ID" comment="Give each requirement a unique ID.">SYS_Req!$C$5</definedName>
    <definedName name="Req._Description">SYS_Req!$D$5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78" i="3" l="1"/>
  <c r="D77" i="3"/>
  <c r="D76" i="3"/>
  <c r="D75" i="3"/>
  <c r="D71" i="3"/>
  <c r="D70" i="3"/>
  <c r="D69" i="3"/>
  <c r="D68" i="3"/>
  <c r="D67" i="3"/>
  <c r="D66" i="3"/>
  <c r="D65" i="3"/>
  <c r="D64" i="3"/>
  <c r="D63" i="3"/>
  <c r="D62" i="3"/>
  <c r="D61" i="3"/>
  <c r="D58" i="3"/>
  <c r="D57" i="3"/>
  <c r="D56" i="3"/>
  <c r="D55" i="3"/>
  <c r="D54" i="3"/>
  <c r="J53" i="3"/>
  <c r="H53" i="3"/>
  <c r="D53" i="3"/>
  <c r="D52" i="3"/>
  <c r="D51" i="3"/>
  <c r="J50" i="3"/>
  <c r="H50" i="3"/>
  <c r="D50" i="3"/>
  <c r="J49" i="3"/>
  <c r="H49" i="3"/>
  <c r="D49" i="3"/>
  <c r="J48" i="3"/>
  <c r="H48" i="3"/>
  <c r="D48" i="3"/>
  <c r="J47" i="3"/>
  <c r="H47" i="3"/>
  <c r="J46" i="3"/>
  <c r="H46" i="3"/>
  <c r="J45" i="3"/>
  <c r="H45" i="3"/>
  <c r="D45" i="3"/>
  <c r="D46" i="3"/>
  <c r="D47" i="3"/>
  <c r="D11" i="2" l="1"/>
  <c r="G112" i="10" l="1"/>
  <c r="G109" i="10"/>
  <c r="G108" i="10"/>
  <c r="G107" i="10"/>
  <c r="G106" i="10"/>
  <c r="G105" i="10"/>
  <c r="G104" i="10"/>
  <c r="D7" i="10" l="1"/>
  <c r="D10" i="2"/>
  <c r="D9" i="2"/>
  <c r="D8" i="2"/>
  <c r="D7" i="2"/>
  <c r="G16" i="2"/>
  <c r="G22" i="10"/>
  <c r="G22" i="2"/>
  <c r="G14" i="2"/>
  <c r="G23" i="10"/>
  <c r="G12" i="2"/>
  <c r="G8" i="10"/>
  <c r="G19" i="10"/>
  <c r="G13" i="2"/>
  <c r="G10" i="10"/>
  <c r="G26" i="10"/>
  <c r="G23" i="2"/>
  <c r="G10" i="2"/>
  <c r="G18" i="10"/>
  <c r="G7" i="2"/>
  <c r="G12" i="10"/>
  <c r="G9" i="10"/>
  <c r="G15" i="10"/>
  <c r="G16" i="10"/>
  <c r="G13" i="10"/>
  <c r="G26" i="2"/>
  <c r="G17" i="2"/>
  <c r="G20" i="2"/>
  <c r="G18" i="2"/>
  <c r="G14" i="10"/>
  <c r="G9" i="2"/>
  <c r="G25" i="10"/>
  <c r="G17" i="10"/>
  <c r="G7" i="10"/>
  <c r="G24" i="2"/>
  <c r="G19" i="2"/>
  <c r="G8" i="2"/>
  <c r="G11" i="2"/>
  <c r="G20" i="10"/>
  <c r="G15" i="2"/>
  <c r="G25" i="2"/>
  <c r="G11" i="10"/>
  <c r="G21" i="2"/>
  <c r="G21" i="10"/>
  <c r="G24" i="10"/>
  <c r="N8" i="11" l="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7" i="11"/>
  <c r="L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7" i="11"/>
  <c r="J7" i="11"/>
  <c r="H7" i="11"/>
  <c r="G7" i="11"/>
  <c r="I7" i="11" s="1"/>
  <c r="G8" i="11"/>
  <c r="H8" i="11" s="1"/>
  <c r="G9" i="11"/>
  <c r="J9" i="11" s="1"/>
  <c r="G10" i="11"/>
  <c r="H10" i="11" s="1"/>
  <c r="G11" i="11"/>
  <c r="H11" i="11" s="1"/>
  <c r="G12" i="11"/>
  <c r="J12" i="11" s="1"/>
  <c r="G13" i="11"/>
  <c r="H13" i="11" s="1"/>
  <c r="G14" i="11"/>
  <c r="L14" i="11" s="1"/>
  <c r="G15" i="11"/>
  <c r="H15" i="11" s="1"/>
  <c r="G16" i="11"/>
  <c r="H16" i="11" s="1"/>
  <c r="G17" i="11"/>
  <c r="I17" i="11" s="1"/>
  <c r="G18" i="11"/>
  <c r="L18" i="11" s="1"/>
  <c r="G19" i="11"/>
  <c r="L19" i="11" s="1"/>
  <c r="G20" i="11"/>
  <c r="I20" i="11" s="1"/>
  <c r="G21" i="11"/>
  <c r="J21" i="11" s="1"/>
  <c r="H134" i="1"/>
  <c r="J20" i="11" l="1"/>
  <c r="H21" i="11"/>
  <c r="L21" i="11"/>
  <c r="I21" i="11"/>
  <c r="L20" i="11"/>
  <c r="H20" i="11"/>
  <c r="I19" i="11"/>
  <c r="J19" i="11"/>
  <c r="H19" i="11"/>
  <c r="H18" i="11"/>
  <c r="J18" i="11"/>
  <c r="I18" i="11"/>
  <c r="J17" i="11"/>
  <c r="H17" i="11"/>
  <c r="L17" i="11"/>
  <c r="J16" i="11"/>
  <c r="I16" i="11"/>
  <c r="L16" i="11"/>
  <c r="L15" i="11"/>
  <c r="I15" i="11"/>
  <c r="J15" i="11"/>
  <c r="H14" i="11"/>
  <c r="J14" i="11"/>
  <c r="I14" i="11"/>
  <c r="I13" i="11"/>
  <c r="J13" i="11"/>
  <c r="L13" i="11"/>
  <c r="H12" i="11"/>
  <c r="I12" i="11"/>
  <c r="L12" i="11"/>
  <c r="J11" i="11"/>
  <c r="L11" i="11"/>
  <c r="I11" i="11"/>
  <c r="I10" i="11"/>
  <c r="L10" i="11"/>
  <c r="J10" i="11"/>
  <c r="L9" i="11"/>
  <c r="H9" i="11"/>
  <c r="I9" i="11"/>
  <c r="J8" i="11"/>
  <c r="L8" i="11"/>
  <c r="I8" i="11"/>
  <c r="C137" i="10" l="1"/>
  <c r="C136" i="10"/>
  <c r="C135" i="10"/>
  <c r="C134" i="10"/>
  <c r="C130" i="10"/>
  <c r="C129" i="10"/>
  <c r="C128" i="10"/>
  <c r="C127" i="10"/>
  <c r="C126" i="10"/>
  <c r="C125" i="10"/>
  <c r="C124" i="10"/>
  <c r="C123" i="10"/>
  <c r="C122" i="10"/>
  <c r="C121" i="10"/>
  <c r="C120" i="10"/>
  <c r="C117" i="10"/>
  <c r="C116" i="10"/>
  <c r="C115" i="10"/>
  <c r="C114" i="10"/>
  <c r="C113" i="10"/>
  <c r="J112" i="10"/>
  <c r="H112" i="10"/>
  <c r="C112" i="10"/>
  <c r="C111" i="10"/>
  <c r="C110" i="10"/>
  <c r="J109" i="10"/>
  <c r="H109" i="10"/>
  <c r="C109" i="10"/>
  <c r="J108" i="10"/>
  <c r="H108" i="10"/>
  <c r="C108" i="10"/>
  <c r="J107" i="10"/>
  <c r="H107" i="10"/>
  <c r="C107" i="10"/>
  <c r="J106" i="10"/>
  <c r="H106" i="10"/>
  <c r="J105" i="10"/>
  <c r="H105" i="10"/>
  <c r="J104" i="10"/>
  <c r="H104" i="10"/>
  <c r="H59" i="1"/>
  <c r="H47" i="1"/>
  <c r="H29" i="1"/>
  <c r="H79" i="1"/>
  <c r="H76" i="1"/>
  <c r="H18" i="1"/>
  <c r="H83" i="1"/>
  <c r="H35" i="1"/>
  <c r="H85" i="1"/>
  <c r="H51" i="1"/>
  <c r="H52" i="1"/>
  <c r="H96" i="1"/>
  <c r="H34" i="1"/>
  <c r="H20" i="1"/>
  <c r="H37" i="1"/>
  <c r="H53" i="1"/>
  <c r="H58" i="1"/>
  <c r="H92" i="1"/>
  <c r="H49" i="1"/>
  <c r="H73" i="1"/>
  <c r="H131" i="1"/>
  <c r="H9" i="1"/>
  <c r="H30" i="1"/>
  <c r="H116" i="1"/>
  <c r="H71" i="1"/>
  <c r="H50" i="1"/>
  <c r="H41" i="1"/>
  <c r="H74" i="1"/>
  <c r="H56" i="1"/>
  <c r="H133" i="1"/>
  <c r="H44" i="1"/>
  <c r="H38" i="1"/>
  <c r="H16" i="1"/>
  <c r="H78" i="1"/>
  <c r="H126" i="1"/>
  <c r="H97" i="1"/>
  <c r="H36" i="1"/>
  <c r="H46" i="1"/>
  <c r="H98" i="1"/>
  <c r="H17" i="1"/>
  <c r="H117" i="1"/>
  <c r="H33" i="1"/>
  <c r="H21" i="1"/>
  <c r="H118" i="1"/>
  <c r="H95" i="1"/>
  <c r="H80" i="1"/>
  <c r="H124" i="1"/>
  <c r="H31" i="1"/>
  <c r="H129" i="1"/>
  <c r="H67" i="1"/>
  <c r="H132" i="1"/>
  <c r="H65" i="1"/>
  <c r="H40" i="1"/>
  <c r="H81" i="1"/>
  <c r="H61" i="1"/>
  <c r="H55" i="1"/>
  <c r="H32" i="1"/>
  <c r="H75" i="1"/>
  <c r="H113" i="1"/>
  <c r="H26" i="1"/>
  <c r="H93" i="1"/>
  <c r="H123" i="1"/>
  <c r="H101" i="1"/>
  <c r="H28" i="1"/>
  <c r="H48" i="1"/>
  <c r="H115" i="1"/>
  <c r="H45" i="1"/>
  <c r="H12" i="1"/>
  <c r="H42" i="1"/>
  <c r="H122" i="1"/>
  <c r="H66" i="1"/>
  <c r="H125" i="1"/>
  <c r="H60" i="1"/>
  <c r="H87" i="1"/>
  <c r="H128" i="1"/>
  <c r="H13" i="1"/>
  <c r="H84" i="1"/>
  <c r="H119" i="1"/>
  <c r="H90" i="1"/>
  <c r="H57" i="1"/>
  <c r="H77" i="1"/>
  <c r="H121" i="1"/>
  <c r="H7" i="1"/>
  <c r="H72" i="1"/>
  <c r="H114" i="1"/>
  <c r="H25" i="1"/>
  <c r="H120" i="1"/>
  <c r="H14" i="1"/>
  <c r="H62" i="1"/>
  <c r="H91" i="1"/>
  <c r="H10" i="1"/>
  <c r="H54" i="1"/>
  <c r="H88" i="1"/>
  <c r="H19" i="1"/>
  <c r="H127" i="1"/>
  <c r="H43" i="1"/>
  <c r="H22" i="1"/>
  <c r="H39" i="1"/>
  <c r="H27" i="1"/>
  <c r="H130" i="1"/>
  <c r="H23" i="1"/>
  <c r="H94" i="1"/>
  <c r="H24" i="1"/>
  <c r="C104" i="10"/>
  <c r="C106" i="10"/>
  <c r="C105" i="10"/>
  <c r="C8" i="7" l="1"/>
</calcChain>
</file>

<file path=xl/sharedStrings.xml><?xml version="1.0" encoding="utf-8"?>
<sst xmlns="http://schemas.openxmlformats.org/spreadsheetml/2006/main" count="1837" uniqueCount="949">
  <si>
    <t>Requirement list</t>
  </si>
  <si>
    <t>ID</t>
  </si>
  <si>
    <t>Req. Description</t>
  </si>
  <si>
    <t>Category</t>
  </si>
  <si>
    <t>Priority</t>
  </si>
  <si>
    <t>Test or verification</t>
  </si>
  <si>
    <t>Functional</t>
  </si>
  <si>
    <t>Technical</t>
  </si>
  <si>
    <t>Operational</t>
  </si>
  <si>
    <t>KPI</t>
  </si>
  <si>
    <t>Transitional</t>
  </si>
  <si>
    <t>Category List</t>
  </si>
  <si>
    <t>Priority list</t>
  </si>
  <si>
    <t>Must have</t>
  </si>
  <si>
    <t>Should have</t>
  </si>
  <si>
    <t>Could have</t>
  </si>
  <si>
    <t>Won't have</t>
  </si>
  <si>
    <t>V_HS</t>
  </si>
  <si>
    <t>V_LS</t>
  </si>
  <si>
    <t>I_LS</t>
  </si>
  <si>
    <t>V_LS_ext</t>
  </si>
  <si>
    <t>T_HS</t>
  </si>
  <si>
    <t>T_LS_an</t>
  </si>
  <si>
    <t>T_LS_bo</t>
  </si>
  <si>
    <t>Resolution</t>
  </si>
  <si>
    <t>XXX bits</t>
  </si>
  <si>
    <t>I2C</t>
  </si>
  <si>
    <t>ADC</t>
  </si>
  <si>
    <t>FADC</t>
  </si>
  <si>
    <t>Peripheral</t>
  </si>
  <si>
    <t>Range</t>
  </si>
  <si>
    <t>15-55</t>
  </si>
  <si>
    <t>0-65</t>
  </si>
  <si>
    <t>V_3v3</t>
  </si>
  <si>
    <t>V_5v</t>
  </si>
  <si>
    <t>Led_1</t>
  </si>
  <si>
    <t>GPIO</t>
  </si>
  <si>
    <t>Signal</t>
  </si>
  <si>
    <t>Direction</t>
  </si>
  <si>
    <t>Input</t>
  </si>
  <si>
    <t>Output</t>
  </si>
  <si>
    <t>Control modes</t>
  </si>
  <si>
    <t>CTRL_I_LS</t>
  </si>
  <si>
    <t>CTRL_V_LS</t>
  </si>
  <si>
    <t>CTRL_PWR_LS</t>
  </si>
  <si>
    <t>CTRL_I_PULSE_LS</t>
  </si>
  <si>
    <t>4mV</t>
  </si>
  <si>
    <t>1,5mV</t>
  </si>
  <si>
    <t>5,5mA</t>
  </si>
  <si>
    <t>PR_SW001</t>
  </si>
  <si>
    <t>From</t>
  </si>
  <si>
    <t>PR_SW002</t>
  </si>
  <si>
    <t>PR_SW003</t>
  </si>
  <si>
    <t>PR_SW004</t>
  </si>
  <si>
    <t>CAN</t>
  </si>
  <si>
    <t>DMA</t>
  </si>
  <si>
    <t>PWM</t>
  </si>
  <si>
    <t>PR_SW005</t>
  </si>
  <si>
    <t>PR_SW006</t>
  </si>
  <si>
    <t>PR_SW007</t>
  </si>
  <si>
    <t>HRTIM</t>
  </si>
  <si>
    <t>PR_SW008</t>
  </si>
  <si>
    <t>TIM_RT</t>
  </si>
  <si>
    <t>TIM_PWR_MEAS</t>
  </si>
  <si>
    <t>Memory table</t>
  </si>
  <si>
    <t>FLASH</t>
  </si>
  <si>
    <t>PR_SW009</t>
  </si>
  <si>
    <t>PR_SW010</t>
  </si>
  <si>
    <t>PR_SW011</t>
  </si>
  <si>
    <t>Registers</t>
  </si>
  <si>
    <t>7-15V</t>
  </si>
  <si>
    <t>CM_SW001</t>
  </si>
  <si>
    <t>-</t>
  </si>
  <si>
    <t>WAIT</t>
  </si>
  <si>
    <t>CM_SW002</t>
  </si>
  <si>
    <t>CM_SW003</t>
  </si>
  <si>
    <t>CM_SW004</t>
  </si>
  <si>
    <t>CM_SW005</t>
  </si>
  <si>
    <t>Peripherals</t>
  </si>
  <si>
    <t>Signals</t>
  </si>
  <si>
    <t>SG_SW001</t>
  </si>
  <si>
    <t>SG_SW002</t>
  </si>
  <si>
    <t>SG_SW003</t>
  </si>
  <si>
    <t>SG_SW004</t>
  </si>
  <si>
    <t>SG_SW005</t>
  </si>
  <si>
    <t>SG_SW006</t>
  </si>
  <si>
    <t>SG_SW007</t>
  </si>
  <si>
    <t>SG_SW008</t>
  </si>
  <si>
    <t>SG_SW009</t>
  </si>
  <si>
    <t>SG_SW010</t>
  </si>
  <si>
    <t>SG_SW011</t>
  </si>
  <si>
    <t>SG_SW012</t>
  </si>
  <si>
    <t>SG_SW013</t>
  </si>
  <si>
    <t>SG_SW014</t>
  </si>
  <si>
    <t>Led_2</t>
  </si>
  <si>
    <t>Led_3</t>
  </si>
  <si>
    <t>Led_4</t>
  </si>
  <si>
    <t>Modules</t>
  </si>
  <si>
    <t>HAL_PWM</t>
  </si>
  <si>
    <t>Input: duty &amp; periferal
Applies dutty to peripheral. 
- Enables PWM
- Set duty</t>
  </si>
  <si>
    <t>HAL_GPIO</t>
  </si>
  <si>
    <t>MID_PWR</t>
  </si>
  <si>
    <t>APP_CTRL</t>
  </si>
  <si>
    <t xml:space="preserve">- Input: V_HS, V_LS
- calculate_D0 (V_HS, V_LS) for I0
- setPwr(Status) -&gt; changes DRMOS enable pin
- currentPi (D0, I_ref, I_LS) : applies duty to PWM
- voltagePi (V_ref, V_LS) -&gt; I_ref
- powerPi (V_ref, V_LS) -&gt; I_ref
 </t>
  </si>
  <si>
    <t>- Reads mode and ref and manages to apply
- Manages errors depending  temperature
- Manages errors depending V &amp; I
- setCtrl -&gt; enables Pis and errors management
IS ABLE TO READ REGISTERS</t>
  </si>
  <si>
    <t>HAL_CAN</t>
  </si>
  <si>
    <t>- Sends via CAN a premade payload &amp; ID
- Adds extended mode conf to msg
- Reads incoming msgs
- Set  HW filters for incoming msgs</t>
  </si>
  <si>
    <t>MID_COMM</t>
  </si>
  <si>
    <t>APP_IFACE</t>
  </si>
  <si>
    <t>HAL_I2C</t>
  </si>
  <si>
    <t>- Request and read temp sensor</t>
  </si>
  <si>
    <t>HAL_TMR</t>
  </si>
  <si>
    <t>Init:
- Configures TIM_RT (10kHz)
- Configures IRQ_TIM_RT
- Configures HRTIM (1MHz)
- Configures TIM_PWR_MEAS (100KHz)
Start/Stop timer ()</t>
  </si>
  <si>
    <t>HAL_ADC</t>
  </si>
  <si>
    <t>HAL_DMA</t>
  </si>
  <si>
    <t>HAL_SYS</t>
  </si>
  <si>
    <t>- Init peripherals
- Watchdog
- SysClockTree</t>
  </si>
  <si>
    <t>MID_DABS</t>
  </si>
  <si>
    <t>APP_SALG</t>
  </si>
  <si>
    <t>- GetNewMsgs(MID_COMM)
- Implements protocol callbacks for incoming msgs
- Validates incoming values and raises errors
- Sends applied configuration after reading incoming msg
- Write incoming registers
- Sends outcoming msgs depending on configured periodicity
- Raises ACK timeout error</t>
  </si>
  <si>
    <t>- Inits system (HAL_SYS)
- GetMeas (MID_DABS)
- GetNewMsgs(APP_IFACE)
- ApplyControl(APP_CTRL)
- UpdateLeds(MID_DABS)
- SendMsgs(APP_IFACE)</t>
  </si>
  <si>
    <r>
      <t xml:space="preserve">- Configures normal ADCs (With regular range)
- Configures FADC + TIMER + DMA&lt;- CHECK IF A RANGE CAN BE MEASURED or ONLY INDIVIDUAL ADCs
- Get meas ()
- RefreshMeas()
</t>
    </r>
    <r>
      <rPr>
        <b/>
        <sz val="11"/>
        <color rgb="FFFF0000"/>
        <rFont val="Calibri"/>
        <family val="2"/>
        <scheme val="minor"/>
      </rPr>
      <t>- GetFastMeas()?? In DMA??</t>
    </r>
    <r>
      <rPr>
        <b/>
        <sz val="11"/>
        <color theme="1"/>
        <rFont val="Calibri"/>
        <family val="2"/>
        <scheme val="minor"/>
      </rPr>
      <t xml:space="preserve">
- Start/Stop FastMeas
- GetFadcStatus()</t>
    </r>
  </si>
  <si>
    <r>
      <t xml:space="preserve">- ConfigDMA(freq, mem…)
</t>
    </r>
    <r>
      <rPr>
        <b/>
        <sz val="11"/>
        <color rgb="FFFF0000"/>
        <rFont val="Calibri"/>
        <family val="2"/>
        <scheme val="minor"/>
      </rPr>
      <t>- GetFastMeas()?? In ADC??</t>
    </r>
  </si>
  <si>
    <t>- GetMeas() -&gt; updates registers. Avg fast ADC. Get ADC &amp; Get I2C
- UpdateLeds() mini status machine</t>
  </si>
  <si>
    <t>- Parsers payload depending on msg type
- Invoke to IFACE protocol callbacks 
- Sends outcoming msg (ID, data &lt;- uint8 array)</t>
  </si>
  <si>
    <t>FDMF6820C</t>
  </si>
  <si>
    <t>Name</t>
  </si>
  <si>
    <t>DRMOS</t>
  </si>
  <si>
    <t>Out_Disable</t>
  </si>
  <si>
    <t>Thermal_Warn</t>
  </si>
  <si>
    <t>Out</t>
  </si>
  <si>
    <t>In</t>
  </si>
  <si>
    <t>Direction (uC)</t>
  </si>
  <si>
    <t>MAX3059ASA</t>
  </si>
  <si>
    <t>Tx</t>
  </si>
  <si>
    <t>Rx</t>
  </si>
  <si>
    <t>LED</t>
  </si>
  <si>
    <t>Led1</t>
  </si>
  <si>
    <t>Led0</t>
  </si>
  <si>
    <t>Led2</t>
  </si>
  <si>
    <t>Led3</t>
  </si>
  <si>
    <t>Current Sense</t>
  </si>
  <si>
    <t>INA181A2</t>
  </si>
  <si>
    <t>Voltage Sense</t>
  </si>
  <si>
    <t>TVS7721</t>
  </si>
  <si>
    <t>Ls_Volt</t>
  </si>
  <si>
    <t>Ls_Curr</t>
  </si>
  <si>
    <t>Hs_Volt</t>
  </si>
  <si>
    <t>RT7251</t>
  </si>
  <si>
    <t>DC/DC 3v3</t>
  </si>
  <si>
    <t>DC/DC 5v0</t>
  </si>
  <si>
    <t>LM224APT</t>
  </si>
  <si>
    <t>NTC</t>
  </si>
  <si>
    <t>Body temp</t>
  </si>
  <si>
    <t>STS30-DIS</t>
  </si>
  <si>
    <t>JTAG</t>
  </si>
  <si>
    <t>PIN</t>
  </si>
  <si>
    <t>SIGNAL_NAME</t>
  </si>
  <si>
    <t>NJTRST</t>
  </si>
  <si>
    <t>SYS_NJTRST</t>
  </si>
  <si>
    <t>JTDO</t>
  </si>
  <si>
    <t>JTDI</t>
  </si>
  <si>
    <t>SYS_JTDI</t>
  </si>
  <si>
    <t>JTCK</t>
  </si>
  <si>
    <t>SYS_JTCK-SWCLK</t>
  </si>
  <si>
    <t>SYS_JTDO-TRACESWO</t>
  </si>
  <si>
    <t>JTMS</t>
  </si>
  <si>
    <t>SYS_JTMS-SWDIO</t>
  </si>
  <si>
    <t>HAL_ADC_Ls_Curr</t>
  </si>
  <si>
    <t>HAL_ADC_Ls_Volt</t>
  </si>
  <si>
    <t>HAL_ADC_Hs_Volt</t>
  </si>
  <si>
    <t>SDA</t>
  </si>
  <si>
    <t>SCL</t>
  </si>
  <si>
    <t>In/Out</t>
  </si>
  <si>
    <t>I2C1_SDA</t>
  </si>
  <si>
    <t>I2C1_SCL</t>
  </si>
  <si>
    <t>CAN_Tx</t>
  </si>
  <si>
    <t>CAN_Rx</t>
  </si>
  <si>
    <t>PWM_HRTIM1_ChA1</t>
  </si>
  <si>
    <t>HAL_PWM_Out</t>
  </si>
  <si>
    <t>Pwm_Out</t>
  </si>
  <si>
    <t>HAL_GPIO_Thermal_Warn</t>
  </si>
  <si>
    <t>HAL_GPIO_Out_Disable</t>
  </si>
  <si>
    <t>HAL_GPIO_Led0</t>
  </si>
  <si>
    <t>HAL_GPIO_Led1</t>
  </si>
  <si>
    <t>HAL_GPIO_Led2</t>
  </si>
  <si>
    <t>HAL_GPIO_Led3</t>
  </si>
  <si>
    <t>HAL_GPIO_Status_3v3</t>
  </si>
  <si>
    <t>HAL_GPIO_Status_5v0</t>
  </si>
  <si>
    <t>Status_3v3</t>
  </si>
  <si>
    <t>Status_5v0</t>
  </si>
  <si>
    <t>- Set output leds
- Enable DRMOS
- Reads DRMOS temp warn
- Reads Vstatus inputs</t>
  </si>
  <si>
    <t>EPC</t>
  </si>
  <si>
    <t>Electronic Power Converter</t>
  </si>
  <si>
    <t>HS</t>
  </si>
  <si>
    <t>High Side (Input of the EPC with higher voltage)</t>
  </si>
  <si>
    <t>LS</t>
  </si>
  <si>
    <t>DUT</t>
  </si>
  <si>
    <t>Device Under Test (Battery connected in LS)</t>
  </si>
  <si>
    <t>Document Info</t>
  </si>
  <si>
    <t>Filename</t>
  </si>
  <si>
    <t>Acronyms definition</t>
  </si>
  <si>
    <t>Derivated</t>
  </si>
  <si>
    <t>SW001</t>
  </si>
  <si>
    <t>SW002</t>
  </si>
  <si>
    <t>SW003</t>
  </si>
  <si>
    <t>SW004</t>
  </si>
  <si>
    <t>SW005</t>
  </si>
  <si>
    <t>SW006</t>
  </si>
  <si>
    <t>SW007</t>
  </si>
  <si>
    <t>SW008</t>
  </si>
  <si>
    <t>SW009</t>
  </si>
  <si>
    <t>SW010</t>
  </si>
  <si>
    <t>SW011</t>
  </si>
  <si>
    <t>SW012</t>
  </si>
  <si>
    <t>SW013</t>
  </si>
  <si>
    <t>SW014</t>
  </si>
  <si>
    <t>SW015</t>
  </si>
  <si>
    <t>SW016</t>
  </si>
  <si>
    <t>SW017</t>
  </si>
  <si>
    <t>SW018</t>
  </si>
  <si>
    <t>SW019</t>
  </si>
  <si>
    <t>SW020</t>
  </si>
  <si>
    <t>SW021</t>
  </si>
  <si>
    <t>HW001</t>
  </si>
  <si>
    <t>HW002</t>
  </si>
  <si>
    <t>HW003</t>
  </si>
  <si>
    <t>HW004</t>
  </si>
  <si>
    <t>HW005</t>
  </si>
  <si>
    <t>HW006</t>
  </si>
  <si>
    <t>HW007</t>
  </si>
  <si>
    <t>HW008</t>
  </si>
  <si>
    <t>HW009</t>
  </si>
  <si>
    <t>HW010</t>
  </si>
  <si>
    <t>HW011</t>
  </si>
  <si>
    <t>HW012</t>
  </si>
  <si>
    <t>HW013</t>
  </si>
  <si>
    <t>HW014</t>
  </si>
  <si>
    <t>HW015</t>
  </si>
  <si>
    <t>HW016</t>
  </si>
  <si>
    <t>HW017</t>
  </si>
  <si>
    <t>HW018</t>
  </si>
  <si>
    <t>HW019</t>
  </si>
  <si>
    <t>HW020</t>
  </si>
  <si>
    <t>HW021</t>
  </si>
  <si>
    <t>HW022</t>
  </si>
  <si>
    <t>HW023</t>
  </si>
  <si>
    <t>HW024</t>
  </si>
  <si>
    <t>HW025</t>
  </si>
  <si>
    <t>HW026</t>
  </si>
  <si>
    <t>HW027</t>
  </si>
  <si>
    <t>HW028</t>
  </si>
  <si>
    <t>HW029</t>
  </si>
  <si>
    <t>HW030</t>
  </si>
  <si>
    <t>HW031</t>
  </si>
  <si>
    <t>HW032</t>
  </si>
  <si>
    <t>HW033</t>
  </si>
  <si>
    <t>HW034</t>
  </si>
  <si>
    <t>HW035</t>
  </si>
  <si>
    <t>HW036</t>
  </si>
  <si>
    <t>HW037</t>
  </si>
  <si>
    <t>HW038</t>
  </si>
  <si>
    <t>HW039</t>
  </si>
  <si>
    <t>HW040</t>
  </si>
  <si>
    <t>HW041</t>
  </si>
  <si>
    <t>HW042</t>
  </si>
  <si>
    <t>HW043</t>
  </si>
  <si>
    <t>HW044</t>
  </si>
  <si>
    <t>HW045</t>
  </si>
  <si>
    <t>HW046</t>
  </si>
  <si>
    <t>HW047</t>
  </si>
  <si>
    <t>HW048</t>
  </si>
  <si>
    <t>HW049</t>
  </si>
  <si>
    <t>HW050</t>
  </si>
  <si>
    <t>HW051</t>
  </si>
  <si>
    <t>HW052</t>
  </si>
  <si>
    <t>HW053</t>
  </si>
  <si>
    <t>HW054</t>
  </si>
  <si>
    <t>HW055</t>
  </si>
  <si>
    <t>HW056</t>
  </si>
  <si>
    <t>HW057</t>
  </si>
  <si>
    <t>HW058</t>
  </si>
  <si>
    <t>HW059</t>
  </si>
  <si>
    <t>HW060</t>
  </si>
  <si>
    <t>HW061</t>
  </si>
  <si>
    <t>HW062</t>
  </si>
  <si>
    <t>HW063</t>
  </si>
  <si>
    <t>HW064</t>
  </si>
  <si>
    <t>HW065</t>
  </si>
  <si>
    <t>HW066</t>
  </si>
  <si>
    <t>HW067</t>
  </si>
  <si>
    <t>HW068</t>
  </si>
  <si>
    <t>HW069</t>
  </si>
  <si>
    <t>HW070</t>
  </si>
  <si>
    <t>HW071</t>
  </si>
  <si>
    <t>HW072</t>
  </si>
  <si>
    <t>General</t>
  </si>
  <si>
    <t>The EPC should fit in a box with maximum dimensions of 15x15x5 cm</t>
  </si>
  <si>
    <t>Mechanical</t>
  </si>
  <si>
    <t>The EPC has a banana plug to connect external DUT</t>
  </si>
  <si>
    <t>The EPC follows a bidirectional synchronous buck topology</t>
  </si>
  <si>
    <t>The EPC has a 18650 battery holder to connect the DUT</t>
  </si>
  <si>
    <t>The EPC has an external voltage measurement conector to sense voltage with a 4 point probe</t>
  </si>
  <si>
    <t>The EPCs must be interconectable to stack mechanically several devices (up to, at least, 10)</t>
  </si>
  <si>
    <t>Measures</t>
  </si>
  <si>
    <t>The EPC has an external NTC probe in the anode of the 18650 battery holder</t>
  </si>
  <si>
    <t>The external NTC probe for the anode could be moved to the anode of an external DUT</t>
  </si>
  <si>
    <t>The EPC has an external NTC probe to measure ambient temperature</t>
  </si>
  <si>
    <t>The EPC has an external NTC probe to measure the external DUT temperature</t>
  </si>
  <si>
    <t>The EPC measures LS current</t>
  </si>
  <si>
    <t>The EPC measures LS voltage</t>
  </si>
  <si>
    <t>The EPC has a CAN bus communication system</t>
  </si>
  <si>
    <t>The electronics in the EPC powers from the HS input power system</t>
  </si>
  <si>
    <r>
      <t xml:space="preserve">The stand-by power consumtion is lower than </t>
    </r>
    <r>
      <rPr>
        <sz val="11"/>
        <color rgb="FFFF0000"/>
        <rFont val="Calibri"/>
        <family val="2"/>
        <scheme val="minor"/>
      </rPr>
      <t>XXX</t>
    </r>
    <r>
      <rPr>
        <sz val="11"/>
        <color theme="1"/>
        <rFont val="Calibri"/>
        <family val="2"/>
        <scheme val="minor"/>
      </rPr>
      <t xml:space="preserve"> mW</t>
    </r>
  </si>
  <si>
    <t>Interface</t>
  </si>
  <si>
    <t>The EPC has several LEDs to indicate function mode and errors</t>
  </si>
  <si>
    <t>The EPC has different DUT ports models (battery holder and external). This must lead to few changes in the construction of the device</t>
  </si>
  <si>
    <t>The main target besides all the technical and functional requirements descripted here is the lowest cost possible</t>
  </si>
  <si>
    <t>The device is able to charge and discharge a DUT connected to the LS of the EPC</t>
  </si>
  <si>
    <t>Element Name</t>
  </si>
  <si>
    <t>Alias (3 letters)</t>
  </si>
  <si>
    <t>Application</t>
  </si>
  <si>
    <t>APP</t>
  </si>
  <si>
    <t>Component Name</t>
  </si>
  <si>
    <t>Alias (4 letters max)</t>
  </si>
  <si>
    <t>Prefix Component</t>
  </si>
  <si>
    <t>File</t>
  </si>
  <si>
    <t>Global Macros</t>
  </si>
  <si>
    <t>Local Macros</t>
  </si>
  <si>
    <t>Global Typedefs (t) **</t>
  </si>
  <si>
    <t>Local Typedefs (t) **</t>
  </si>
  <si>
    <t>Global Functions</t>
  </si>
  <si>
    <t>Local Functions</t>
  </si>
  <si>
    <t>System Algorithms</t>
  </si>
  <si>
    <t>Control</t>
  </si>
  <si>
    <t>MID</t>
  </si>
  <si>
    <t>Middleware</t>
  </si>
  <si>
    <t>Power</t>
  </si>
  <si>
    <t>Device Abstraction</t>
  </si>
  <si>
    <t>Communications</t>
  </si>
  <si>
    <t>Harware Abstraction</t>
  </si>
  <si>
    <t>HAL</t>
  </si>
  <si>
    <t>Pwm</t>
  </si>
  <si>
    <t>Input outputs</t>
  </si>
  <si>
    <t>Analog conversion</t>
  </si>
  <si>
    <t>Comm I2C</t>
  </si>
  <si>
    <t>Direct memmory access</t>
  </si>
  <si>
    <t>Timers</t>
  </si>
  <si>
    <t>System</t>
  </si>
  <si>
    <t>Watchdog</t>
  </si>
  <si>
    <t>Comm CAN</t>
  </si>
  <si>
    <t>Prefix Layer</t>
  </si>
  <si>
    <t>xxxx_xxxx_t</t>
  </si>
  <si>
    <t>Salg</t>
  </si>
  <si>
    <t>Iface</t>
  </si>
  <si>
    <t>Ctrl</t>
  </si>
  <si>
    <t>Pwr</t>
  </si>
  <si>
    <t>Dabs</t>
  </si>
  <si>
    <t>Comm</t>
  </si>
  <si>
    <t>Gpio</t>
  </si>
  <si>
    <t>Adc</t>
  </si>
  <si>
    <t>I2c</t>
  </si>
  <si>
    <t>Dma</t>
  </si>
  <si>
    <t>Tmr</t>
  </si>
  <si>
    <t>Sys</t>
  </si>
  <si>
    <t>Wdg</t>
  </si>
  <si>
    <t>Can</t>
  </si>
  <si>
    <t>Xxxx()</t>
  </si>
  <si>
    <t>Interface Components (*)</t>
  </si>
  <si>
    <t xml:space="preserve">* The interfaces will have P or R depending on if they are provided or required </t>
  </si>
  <si>
    <t>** The Global and Local Typedefs name has a "t" at the end. Enums, unions and structs have the same name but instead a "t" they have "e", "u", "s".</t>
  </si>
  <si>
    <t>Project Naming Convention</t>
  </si>
  <si>
    <t>The EPC has an integrated temperature probe in the body of the 18650 battery holder</t>
  </si>
  <si>
    <t>The measurement of the LS voltage is allways made via a 4 points system (in battery holder as well as in external batteries)</t>
  </si>
  <si>
    <t>The system monitorizes internal temperature to avoid over temperature while working</t>
  </si>
  <si>
    <t>The maximum limit to measure HS voltage is 15 V</t>
  </si>
  <si>
    <t>The minimum limit to measure HS voltage is 0 V</t>
  </si>
  <si>
    <t>The maximum operative voltage in HS (overvoltage alarm) is 14 V</t>
  </si>
  <si>
    <t>The sampling rate for the HS voltage signal is 100 kHz (10 us)</t>
  </si>
  <si>
    <t>The maximum limit to measure LS voltage is 6 V</t>
  </si>
  <si>
    <t>The minimum limit to measure LS voltage is 0 V</t>
  </si>
  <si>
    <t>The maximum operative voltage in LS (overvoltage alarm) is 5 V</t>
  </si>
  <si>
    <t>The minimum operative voltage in LS (undervoltage alarm) is 0.5 V</t>
  </si>
  <si>
    <t>The sampling rate for the LS voltage signal is 100 kHz (10 us)</t>
  </si>
  <si>
    <t>HS V def</t>
  </si>
  <si>
    <t>LS V def</t>
  </si>
  <si>
    <t>LS I def</t>
  </si>
  <si>
    <t>The sampling rate for the LS current signal is 100 kHz (10 us)</t>
  </si>
  <si>
    <t>Temp amb</t>
  </si>
  <si>
    <t>The sampling rate for the ambient temperature signal is 1 Hz (1 s)</t>
  </si>
  <si>
    <t>Temp body</t>
  </si>
  <si>
    <t>The sampling rate for the body temperature signal is 1 Hz (1 s)</t>
  </si>
  <si>
    <t>Temp anode</t>
  </si>
  <si>
    <t>The sampling rate for the anode temperature signal is 1 Hz (1 s)</t>
  </si>
  <si>
    <t>The current reference range is the same as the controlable current range</t>
  </si>
  <si>
    <t>The voltage reference range is the same as the operative LS voltage</t>
  </si>
  <si>
    <t>The power reference range is ± 50 W</t>
  </si>
  <si>
    <t xml:space="preserve">The SOA is defined by the maximum and minimum controlable LS current and operative LS voltage </t>
  </si>
  <si>
    <t>SOA</t>
  </si>
  <si>
    <t>Safe Operative Area</t>
  </si>
  <si>
    <t>The maximum limit to measure LS current is +16.5 A</t>
  </si>
  <si>
    <t>The minimum limit to measure LS current is -16.5 A</t>
  </si>
  <si>
    <t>The maximum controlable current in LS (control limit) is 15 A</t>
  </si>
  <si>
    <t>The minimum controlable current in LS (control limit) is -15 A</t>
  </si>
  <si>
    <t>If reference exceeds SOA, the reference will be limited to be in the SOA</t>
  </si>
  <si>
    <t>The maximum LS current ripple in best case scenario is ± 10 mA</t>
  </si>
  <si>
    <t>The maximum LS voltage ripple in best case scenario is ± 10 mV</t>
  </si>
  <si>
    <t>The maximum response time in best case scenario is 1 ms (1 kHz)</t>
  </si>
  <si>
    <t>The maximum response time is 10 ms (100 Hz)</t>
  </si>
  <si>
    <t>The maximum LS power ripple in best case scenario is  ±  5 mW</t>
  </si>
  <si>
    <t>The user will set the output (enable or disable) via CAN</t>
  </si>
  <si>
    <t>The user will set the control mode via CAN</t>
  </si>
  <si>
    <t>The possible limits for voltage control mode are time, current or power</t>
  </si>
  <si>
    <t>The possible limits for current control mode are time, voltage or power</t>
  </si>
  <si>
    <t>The possible limits for power control mode are time, current or voltage</t>
  </si>
  <si>
    <t>The EPC will apply the reference if the output is enabled until the setted limit is reached, the output is disabled or a new reference value is applied</t>
  </si>
  <si>
    <t>The EPC has a control mode disabling the DMOS, with zero current in LS: WAIT</t>
  </si>
  <si>
    <t>The EPC has a control mode in current of LS: CC</t>
  </si>
  <si>
    <t>The EPC has a control mode in voltage of LS: CV</t>
  </si>
  <si>
    <t>The EPC has a control mode in power of LS: CP</t>
  </si>
  <si>
    <t>The user can change the software alarms for LS maximum voltage between the operative range via CAN</t>
  </si>
  <si>
    <t>The user can change the software alarms for LS minimum voltage between the operative range via CAN</t>
  </si>
  <si>
    <t>The user can change the software alarms for LS minimum current between the controlable range via CAN</t>
  </si>
  <si>
    <t>The user can change the software alarms for LS maximum current between the controlable range via CAN</t>
  </si>
  <si>
    <t>The user can change the software alarms for HS maximum voltage between the operative range via CAN</t>
  </si>
  <si>
    <t>The user can change the software alarms for HS minimum voltage between the operative range via CAN</t>
  </si>
  <si>
    <t>The user can change the software alarms for HS maximum current between the controlable range via CAN</t>
  </si>
  <si>
    <t>The user can change the software alarms for HS minimum current between the controlable range via CAN</t>
  </si>
  <si>
    <t>Limits</t>
  </si>
  <si>
    <t xml:space="preserve">Enable signal, mode, reference, limit and limit reference are send together </t>
  </si>
  <si>
    <t>The user can change the software alarms for LS maximum power between the operative range via CAN</t>
  </si>
  <si>
    <t>The user can ask for every limit to check its actual value</t>
  </si>
  <si>
    <t>Msg req</t>
  </si>
  <si>
    <t>The user can request the device ID to the device via CAN</t>
  </si>
  <si>
    <t>The user can request the firmware version to the device via CAN</t>
  </si>
  <si>
    <t>The user can request the hardware version to the device via CAN</t>
  </si>
  <si>
    <t>The user can request the LS Voltage via CAN</t>
  </si>
  <si>
    <t>The user can request the HS Voltage via CAN</t>
  </si>
  <si>
    <t>The user can request the LS Current via CAN</t>
  </si>
  <si>
    <t>The user can request the Body temperature via CAN</t>
  </si>
  <si>
    <t>The user can request the Anode temperature via CAN</t>
  </si>
  <si>
    <t>The user can request the Ambient temperature via CAN</t>
  </si>
  <si>
    <t>Periodic msg</t>
  </si>
  <si>
    <t>The user can enable or disable a periodical request of the electrical variables</t>
  </si>
  <si>
    <t>The user can set the period of the electrical variables message</t>
  </si>
  <si>
    <t>The user can enable or disable a periodical request of the temperature variables</t>
  </si>
  <si>
    <t>The user can set the period of the temperature variables message</t>
  </si>
  <si>
    <t xml:space="preserve">The EPC has a LS voltage error detection:  It detects LS voltage out of the operative range and disable the output </t>
  </si>
  <si>
    <t>Error</t>
  </si>
  <si>
    <t xml:space="preserve">The EPC has a LS current error detection:  It detects LS current out of the controlable range and disable the output </t>
  </si>
  <si>
    <t xml:space="preserve">The EPC has a HS voltage error detection:  It detects LS voltage out of the operative range and disable the output </t>
  </si>
  <si>
    <t>The user can change the software alarms for maximum temperature (in any temperature sensor)</t>
  </si>
  <si>
    <t>The user can change the software alarms for minimum temperature (in any temperature sensor)</t>
  </si>
  <si>
    <t xml:space="preserve">The EPC has a temperature error detection:  It detects temperature (in any sensor) out of the operative range and disable the output </t>
  </si>
  <si>
    <t>The EPC has a internal error signal: Any internal error (temperature, devices status, software issues) will be detected and the output will be disabled</t>
  </si>
  <si>
    <t>The EPC will send a message via CAN when any error is raised indicating the error type and error value</t>
  </si>
  <si>
    <t>The EPC will set a binary code in the LEDs to indicate the error to the user</t>
  </si>
  <si>
    <t>When any error is enabled, the device will not accept new references nor consign limits</t>
  </si>
  <si>
    <t>Security limits can be changed in any error mode</t>
  </si>
  <si>
    <t>The HS voltage error will be cleared when the levels are back to the defined limit range</t>
  </si>
  <si>
    <t>The LS voltage error will be cleared when the levels are back to the defined limit range</t>
  </si>
  <si>
    <t>The LS current error will be cleared when the levels are back to the defined limit range</t>
  </si>
  <si>
    <t>The temperature error will be cleared when the levels are back to the defined limit range</t>
  </si>
  <si>
    <t>The internal error might be self-cleared if any internal routine is able to fix the issue. If not, the device must be power off and on</t>
  </si>
  <si>
    <t>The communication error will be cleared when a user message is succesfully received</t>
  </si>
  <si>
    <t>Each mode and error has a different combination of LEDs blinks to be identified</t>
  </si>
  <si>
    <t>SYS002</t>
  </si>
  <si>
    <t>SYS001</t>
  </si>
  <si>
    <t>SYS003</t>
  </si>
  <si>
    <t>SYS004</t>
  </si>
  <si>
    <t>SYS005</t>
  </si>
  <si>
    <t>SYS006</t>
  </si>
  <si>
    <t>SYS007</t>
  </si>
  <si>
    <t>SYS008</t>
  </si>
  <si>
    <t>SYS009</t>
  </si>
  <si>
    <t>SYS010</t>
  </si>
  <si>
    <t>SYS011</t>
  </si>
  <si>
    <t>SYS012</t>
  </si>
  <si>
    <t>SYS013</t>
  </si>
  <si>
    <t>SYS014</t>
  </si>
  <si>
    <t>SYS015</t>
  </si>
  <si>
    <t>SYS016</t>
  </si>
  <si>
    <t>SYS017</t>
  </si>
  <si>
    <t>SYS018</t>
  </si>
  <si>
    <t>SYS019</t>
  </si>
  <si>
    <t>SYS020</t>
  </si>
  <si>
    <t>SYS021</t>
  </si>
  <si>
    <t>SYS022</t>
  </si>
  <si>
    <t>SYS023</t>
  </si>
  <si>
    <t>SYS024</t>
  </si>
  <si>
    <t>SYS025</t>
  </si>
  <si>
    <t>SYS026</t>
  </si>
  <si>
    <t>SYS027</t>
  </si>
  <si>
    <t>SYS028</t>
  </si>
  <si>
    <t>SYS029</t>
  </si>
  <si>
    <t>SYS030</t>
  </si>
  <si>
    <t>SYS031</t>
  </si>
  <si>
    <t>SYS032</t>
  </si>
  <si>
    <t>SYS033</t>
  </si>
  <si>
    <t>SYS034</t>
  </si>
  <si>
    <t>SYS035</t>
  </si>
  <si>
    <t>SYS036</t>
  </si>
  <si>
    <t>SYS037</t>
  </si>
  <si>
    <t>SYS038</t>
  </si>
  <si>
    <t>SYS039</t>
  </si>
  <si>
    <t>SYS040</t>
  </si>
  <si>
    <t>SYS041</t>
  </si>
  <si>
    <t>SYS042</t>
  </si>
  <si>
    <t>SYS043</t>
  </si>
  <si>
    <t>SYS044</t>
  </si>
  <si>
    <t>SYS045</t>
  </si>
  <si>
    <t>SYS046</t>
  </si>
  <si>
    <t>SYS047</t>
  </si>
  <si>
    <t>SYS048</t>
  </si>
  <si>
    <t>SYS049</t>
  </si>
  <si>
    <t>SYS050</t>
  </si>
  <si>
    <t>SYS051</t>
  </si>
  <si>
    <t>SYS052</t>
  </si>
  <si>
    <t>SYS053</t>
  </si>
  <si>
    <t>SYS054</t>
  </si>
  <si>
    <t>SYS055</t>
  </si>
  <si>
    <t>SYS056</t>
  </si>
  <si>
    <t>SYS057</t>
  </si>
  <si>
    <t>SYS058</t>
  </si>
  <si>
    <t>SYS059</t>
  </si>
  <si>
    <t>SYS060</t>
  </si>
  <si>
    <t>SYS061</t>
  </si>
  <si>
    <t>SYS062</t>
  </si>
  <si>
    <t>SYS063</t>
  </si>
  <si>
    <t>SYS064</t>
  </si>
  <si>
    <t>SYS065</t>
  </si>
  <si>
    <t>SYS066</t>
  </si>
  <si>
    <t>SYS067</t>
  </si>
  <si>
    <t>SYS068</t>
  </si>
  <si>
    <t>SYS069</t>
  </si>
  <si>
    <t>SYS070</t>
  </si>
  <si>
    <t>SYS071</t>
  </si>
  <si>
    <t>SYS072</t>
  </si>
  <si>
    <t>SYS073</t>
  </si>
  <si>
    <t>SYS074</t>
  </si>
  <si>
    <t>SYS075</t>
  </si>
  <si>
    <t>SYS076</t>
  </si>
  <si>
    <t>SYS077</t>
  </si>
  <si>
    <t>SYS078</t>
  </si>
  <si>
    <t>SYS079</t>
  </si>
  <si>
    <t>SYS080</t>
  </si>
  <si>
    <t>SYS081</t>
  </si>
  <si>
    <t>SYS082</t>
  </si>
  <si>
    <t>SYS083</t>
  </si>
  <si>
    <t>SYS084</t>
  </si>
  <si>
    <t>SYS085</t>
  </si>
  <si>
    <t>SYS086</t>
  </si>
  <si>
    <t>SYS087</t>
  </si>
  <si>
    <t>SYS088</t>
  </si>
  <si>
    <t>SYS089</t>
  </si>
  <si>
    <t>SYS090</t>
  </si>
  <si>
    <t>SYS091</t>
  </si>
  <si>
    <t>SYS092</t>
  </si>
  <si>
    <t>SYS093</t>
  </si>
  <si>
    <t>SYS094</t>
  </si>
  <si>
    <t>SYS095</t>
  </si>
  <si>
    <t>SYS096</t>
  </si>
  <si>
    <t>SYS097</t>
  </si>
  <si>
    <t>SYS098</t>
  </si>
  <si>
    <t>SYS099</t>
  </si>
  <si>
    <t>SYS100</t>
  </si>
  <si>
    <t>SYS101</t>
  </si>
  <si>
    <t>SYS102</t>
  </si>
  <si>
    <t>SYS103</t>
  </si>
  <si>
    <t>SYS104</t>
  </si>
  <si>
    <t>SYS105</t>
  </si>
  <si>
    <t>SYS106</t>
  </si>
  <si>
    <t>SYS107</t>
  </si>
  <si>
    <t>SYS108</t>
  </si>
  <si>
    <t>SYS109</t>
  </si>
  <si>
    <t>SYS110</t>
  </si>
  <si>
    <t>SYS111</t>
  </si>
  <si>
    <t>SYS112</t>
  </si>
  <si>
    <t>SYS113</t>
  </si>
  <si>
    <t>SYS114</t>
  </si>
  <si>
    <t>SYS115</t>
  </si>
  <si>
    <t>SYS116</t>
  </si>
  <si>
    <t>SYS117</t>
  </si>
  <si>
    <t>SYS118</t>
  </si>
  <si>
    <t>SYS119</t>
  </si>
  <si>
    <t>SYS120</t>
  </si>
  <si>
    <t>SYS121</t>
  </si>
  <si>
    <t>SYS122</t>
  </si>
  <si>
    <t>SYS123</t>
  </si>
  <si>
    <t>SYS124</t>
  </si>
  <si>
    <t>SYS125</t>
  </si>
  <si>
    <t>SYS126</t>
  </si>
  <si>
    <t>SYS127</t>
  </si>
  <si>
    <r>
      <t xml:space="preserve">The efficiency of the EPC goes up to </t>
    </r>
    <r>
      <rPr>
        <sz val="11"/>
        <color rgb="FFFF0000"/>
        <rFont val="Calibri"/>
        <family val="2"/>
        <scheme val="minor"/>
      </rPr>
      <t>XXX</t>
    </r>
    <r>
      <rPr>
        <sz val="11"/>
        <color theme="1"/>
        <rFont val="Calibri"/>
        <family val="2"/>
        <scheme val="minor"/>
      </rPr>
      <t xml:space="preserve"> %</t>
    </r>
  </si>
  <si>
    <t>The EPC measures HS voltage</t>
  </si>
  <si>
    <t>The user can change the software alarms for LS minimum power between the operative range via CAN</t>
  </si>
  <si>
    <t>The user can enable or disable a heart beat message (from the user to the EPC). If not received in the stablished period, it will disable the power flow</t>
  </si>
  <si>
    <t>The user can set the period of the heart beat message from the user to the EPC</t>
  </si>
  <si>
    <t>The EPC has a communications error: It detects errors in the CAN bus. If the user heart beat is enabled and the heart beat is not sended in the stablished period, this error is rised &amp; the output is disabled</t>
  </si>
  <si>
    <t>Owner</t>
  </si>
  <si>
    <t>Pablo Pastor</t>
  </si>
  <si>
    <t>Review date</t>
  </si>
  <si>
    <t>Internal project name</t>
  </si>
  <si>
    <t>EPC - Electronic Power Converter for battery cycling</t>
  </si>
  <si>
    <t>Review history</t>
  </si>
  <si>
    <t>Time limit reference minimum value is 1 ms</t>
  </si>
  <si>
    <t>Time limit reference resolution is 1 ms</t>
  </si>
  <si>
    <t>Description</t>
  </si>
  <si>
    <t>Start bit</t>
  </si>
  <si>
    <t>Bit lenght</t>
  </si>
  <si>
    <t>Scaling</t>
  </si>
  <si>
    <t>Min</t>
  </si>
  <si>
    <t>Max</t>
  </si>
  <si>
    <t>Default</t>
  </si>
  <si>
    <t>Type</t>
  </si>
  <si>
    <t>uint16_t</t>
  </si>
  <si>
    <t>mV</t>
  </si>
  <si>
    <t>max value for the LsVolt variable</t>
  </si>
  <si>
    <t>min value for the LsVolt variable</t>
  </si>
  <si>
    <t>max value for the HsVolt variable</t>
  </si>
  <si>
    <t>min value for the HsVolt variable</t>
  </si>
  <si>
    <t>max value for the LsCurr variable</t>
  </si>
  <si>
    <t>min value for the LsCurr variable</t>
  </si>
  <si>
    <t>int16_t</t>
  </si>
  <si>
    <t>Related to</t>
  </si>
  <si>
    <t>Internal limit for limit range in HS voltage goes from [5.3 … 14.1] V to include max and min SYS defined values in range</t>
  </si>
  <si>
    <t>The minimum operative voltage in HS (undervoltage alarm) is 5.4 V</t>
  </si>
  <si>
    <t>Internal limit for limit range in LS voltage goes from [0.4 … 5.1] V to include max and min SYS defined values in range</t>
  </si>
  <si>
    <t>Affects</t>
  </si>
  <si>
    <t>- Limit ranges
- Registers</t>
  </si>
  <si>
    <t>Internal limit for limit range in LS current goes from [-15.1 … 15.1] A to include max and min SYS defined values in range</t>
  </si>
  <si>
    <t>max 70</t>
  </si>
  <si>
    <t>min -20</t>
  </si>
  <si>
    <t>The maximum limit to measure ambient temperature is +65 ºC</t>
  </si>
  <si>
    <t>The minimum limit to measure ambient temperature is -15 ºC</t>
  </si>
  <si>
    <t>The maximum limit to measure body temperature is +65 ºC</t>
  </si>
  <si>
    <t>The minimum limit to measure body temperature is -15 ºC</t>
  </si>
  <si>
    <t>The maximum limit to measure anode temperature is +65 ºC</t>
  </si>
  <si>
    <t>The minimum limit to measure anode temperature is -15 ºC</t>
  </si>
  <si>
    <t>Hardware limits to temperature measurements in ADC are [-20 … 70] ºC to have more software range</t>
  </si>
  <si>
    <t>- NTC to 3v3 conversion</t>
  </si>
  <si>
    <t>Internal limit for limit range in ambient temp goes from [-20 … 70] ºC to include max and min SYS defined values in range</t>
  </si>
  <si>
    <t>Internal limit for limit range in anode temp goes from [-20 … 70] ºC to include max and min SYS defined values in range</t>
  </si>
  <si>
    <t>The accuracy in the HS voltage measurement is ± 5 mV</t>
  </si>
  <si>
    <t>The accuracy in the LS voltage measurement is ± 5 mV</t>
  </si>
  <si>
    <t>The accuracy in the LS current measurement is ± 10 mA</t>
  </si>
  <si>
    <t>The accuracy in the ambient temperature is ± 0.5 ºC</t>
  </si>
  <si>
    <t>The accuracy in the body temperature is ± 0.5 ºC</t>
  </si>
  <si>
    <t>The accuracy in the anode temperature is ± 0.5 ºC</t>
  </si>
  <si>
    <t>- Limit ranges
- Registers
- CAN Messages</t>
  </si>
  <si>
    <t>Limits in HS Current WON'T BE IMPLEMENTED</t>
  </si>
  <si>
    <t>max value for the LsPwr variable</t>
  </si>
  <si>
    <t>min value for the LsPwr variable</t>
  </si>
  <si>
    <t>dW (W x 10)</t>
  </si>
  <si>
    <t>Watchdog reset uC after 0.5 ms if not hearbeat received</t>
  </si>
  <si>
    <t>- APP_SALG
- HAL_WDG</t>
  </si>
  <si>
    <t>min value for the Temperature variables</t>
  </si>
  <si>
    <t>max value for the Temperature variables</t>
  </si>
  <si>
    <t>dºC</t>
  </si>
  <si>
    <t>Fast blow fuse connected in positive input:
- 10A continuous 2.7h to blow
- 20A continuous 100ms to blow</t>
  </si>
  <si>
    <t>Status of pwr conversion</t>
  </si>
  <si>
    <t>Control type</t>
  </si>
  <si>
    <t>Limit type for control type</t>
  </si>
  <si>
    <t>Bit field
uint_8</t>
  </si>
  <si>
    <t>Reference for the control type</t>
  </si>
  <si>
    <t>mA/mV/dW/ms</t>
  </si>
  <si>
    <t>Reference for the limit type</t>
  </si>
  <si>
    <t>0 = Disabled
1 = Enabled</t>
  </si>
  <si>
    <t>Status for the usrHeartBeat msg</t>
  </si>
  <si>
    <t>Status for the periodical electrical measures msg</t>
  </si>
  <si>
    <t>usrHeartBeatPeriod</t>
  </si>
  <si>
    <t>electricMsgPeriod</t>
  </si>
  <si>
    <t>tempMsgPeriod</t>
  </si>
  <si>
    <t>usrHeartBeatStatus</t>
  </si>
  <si>
    <t>electricMsgStatus</t>
  </si>
  <si>
    <t>tempMsgStatus</t>
  </si>
  <si>
    <t>Periodicity for the user heart beat signal</t>
  </si>
  <si>
    <t>ms</t>
  </si>
  <si>
    <t>Periodicity for the electric measures msg</t>
  </si>
  <si>
    <t>Periodicity for the temp measures msg</t>
  </si>
  <si>
    <t>Id. Used for CAN</t>
  </si>
  <si>
    <t>fwVer</t>
  </si>
  <si>
    <t>Flashed fw version</t>
  </si>
  <si>
    <t>hwVer</t>
  </si>
  <si>
    <t>Board version</t>
  </si>
  <si>
    <t>Bit field
uint8_t</t>
  </si>
  <si>
    <t>hsVoltMax</t>
  </si>
  <si>
    <t>hsVoltMin</t>
  </si>
  <si>
    <t>lsVoltMax</t>
  </si>
  <si>
    <t>lsVoltMin</t>
  </si>
  <si>
    <t>lsCurrMax</t>
  </si>
  <si>
    <t>lsCurrMin</t>
  </si>
  <si>
    <t>lsPwrMax</t>
  </si>
  <si>
    <t>lsPwrMin</t>
  </si>
  <si>
    <t>tempMax</t>
  </si>
  <si>
    <t>tempMin</t>
  </si>
  <si>
    <t>outStatus</t>
  </si>
  <si>
    <t>mode</t>
  </si>
  <si>
    <t>limitType</t>
  </si>
  <si>
    <t>modeRef</t>
  </si>
  <si>
    <t>limRef</t>
  </si>
  <si>
    <t>commErr</t>
  </si>
  <si>
    <t>lsCurrErr</t>
  </si>
  <si>
    <t>lsVoltErr</t>
  </si>
  <si>
    <t>hsVoltErr</t>
  </si>
  <si>
    <t>tempErr</t>
  </si>
  <si>
    <t>intErr</t>
  </si>
  <si>
    <t>Error in hsVolt variable</t>
  </si>
  <si>
    <t>Error in lsVolt variable</t>
  </si>
  <si>
    <t>Error in lsCurr variable</t>
  </si>
  <si>
    <t>Error in communications or heart beat</t>
  </si>
  <si>
    <t>Error in temp variables</t>
  </si>
  <si>
    <t>Any internal error</t>
  </si>
  <si>
    <t>0 = No error
1 = Error</t>
  </si>
  <si>
    <t>lastErrVal</t>
  </si>
  <si>
    <t>Last error value</t>
  </si>
  <si>
    <t>Meas</t>
  </si>
  <si>
    <t>lsVolt</t>
  </si>
  <si>
    <t>hsVolt</t>
  </si>
  <si>
    <t>lsCurr</t>
  </si>
  <si>
    <t>tempBody</t>
  </si>
  <si>
    <t>tempAnod</t>
  </si>
  <si>
    <t>tempAmb</t>
  </si>
  <si>
    <t>HS voltage measure</t>
  </si>
  <si>
    <t>LS voltage measure</t>
  </si>
  <si>
    <t>LS current measure</t>
  </si>
  <si>
    <t>Temp body measure</t>
  </si>
  <si>
    <t>Temp anode measure</t>
  </si>
  <si>
    <t>Temp ambient measure</t>
  </si>
  <si>
    <t>mA</t>
  </si>
  <si>
    <t>PA4 (20)</t>
  </si>
  <si>
    <t>PA5 (21)</t>
  </si>
  <si>
    <t>FADC2, IN1</t>
  </si>
  <si>
    <t>FADC2, IN2</t>
  </si>
  <si>
    <t>PC4 (24)</t>
  </si>
  <si>
    <t>PC5 (25)</t>
  </si>
  <si>
    <t>PB0 (26)</t>
  </si>
  <si>
    <t>PB1 (26)</t>
  </si>
  <si>
    <t>PA12 (45)</t>
  </si>
  <si>
    <t>PA11 (44)</t>
  </si>
  <si>
    <t>PB14 (35)</t>
  </si>
  <si>
    <t>PB15 (36)</t>
  </si>
  <si>
    <t>ADC1, IN2</t>
  </si>
  <si>
    <t>ADC1, IN1</t>
  </si>
  <si>
    <t>PA0 (14)</t>
  </si>
  <si>
    <t>PA1 (15)</t>
  </si>
  <si>
    <t>PA10 (43)</t>
  </si>
  <si>
    <t>PA8 (41)</t>
  </si>
  <si>
    <t>PA9 (42)</t>
  </si>
  <si>
    <t>PB4 (56)</t>
  </si>
  <si>
    <t>PB3 (55)</t>
  </si>
  <si>
    <t>PA15 (50)</t>
  </si>
  <si>
    <t>PA14 (49)</t>
  </si>
  <si>
    <t>PA13 (46)</t>
  </si>
  <si>
    <t>PB7 (59)</t>
  </si>
  <si>
    <t>PB6 (58)</t>
  </si>
  <si>
    <t>PA7 (23)</t>
  </si>
  <si>
    <t>FADC2, IN4</t>
  </si>
  <si>
    <t>IDEA DE MARIUS</t>
  </si>
  <si>
    <t>int32_t</t>
  </si>
  <si>
    <t>mA/mV/dW</t>
  </si>
  <si>
    <t>Internal registers definition (MID_REG)</t>
  </si>
  <si>
    <t>0 = Time
1 = Volt
2 = Curr
3 = Pwr</t>
  </si>
  <si>
    <t>id</t>
  </si>
  <si>
    <t>Limit:
MID_REG_limit_range
MID_REG_limit</t>
  </si>
  <si>
    <t>Periodic:
MID_REG_periodic_time_min
MID_REG_periodic</t>
  </si>
  <si>
    <t>Info:
MID_REG_info</t>
  </si>
  <si>
    <t>Bit field
uint32_t</t>
  </si>
  <si>
    <t>Board S/N</t>
  </si>
  <si>
    <t>sn</t>
  </si>
  <si>
    <t>--</t>
  </si>
  <si>
    <t>APP_CTRL
APP_IFACE</t>
  </si>
  <si>
    <t>Control:
MID_REG_control
MID_REG_consign</t>
  </si>
  <si>
    <t>APP_SALG
APP_CTRL</t>
  </si>
  <si>
    <t xml:space="preserve">APP_CTRL
</t>
  </si>
  <si>
    <t>APP_IFACE
MID_DABS
APP_CTRL</t>
  </si>
  <si>
    <t>MID_DABS
APP_IFACE</t>
  </si>
  <si>
    <t>Error
MID_REG_errorStatus</t>
  </si>
  <si>
    <t xml:space="preserve">APP_CTRL
APP_SALG
</t>
  </si>
  <si>
    <t>APP_SALG
MID_DABS
APP_IFACE
APP_CTRL</t>
  </si>
  <si>
    <t>APP_SALG_limit</t>
  </si>
  <si>
    <t>APP_SALG_consign</t>
  </si>
  <si>
    <t>APP_SALG_control</t>
  </si>
  <si>
    <t>APP_IFACE_periodic</t>
  </si>
  <si>
    <t>APP_SALG_errorStatus</t>
  </si>
  <si>
    <t>APP_SALG_meas_s</t>
  </si>
  <si>
    <t>Read Modules</t>
  </si>
  <si>
    <t>Write Modules</t>
  </si>
  <si>
    <t>Definition Module</t>
  </si>
  <si>
    <t>Instances of internal registers</t>
  </si>
  <si>
    <t>Temp control</t>
  </si>
  <si>
    <t>Add a GPIO to a transistor to activate an external fan</t>
  </si>
  <si>
    <t>EPC_CONF_limit_range</t>
  </si>
  <si>
    <t>EPC_CONF</t>
  </si>
  <si>
    <t>EPC_CONF_periodic_time_min</t>
  </si>
  <si>
    <t>EPC_CONF_info</t>
  </si>
  <si>
    <t>X</t>
  </si>
  <si>
    <t>APP_CTRL
APP_IFACE
MID_PWR</t>
  </si>
  <si>
    <t xml:space="preserve">- Input: V_HS, V_LS
- calculate_D0 (V_HS, V_LS) for I0
- setPwr(Status en, dis) -&gt; changes DRMOS enable pin
- voltagePi (V_ref, V_LS, I_LS) -&gt; I_ref
- currentPi (I_ref, V_LS, I_LS) : applies duty to PWM
- voltagePi (V_ref, V_LS, I_LS) -&gt; I_ref
- powerPi (P_ref, V_LS, I_LS) -&gt; I_ref
 </t>
  </si>
  <si>
    <t>HAL_ADC_TEMP_ANOD</t>
  </si>
  <si>
    <t>Temp_Anod</t>
  </si>
  <si>
    <t>Temp_Amb</t>
  </si>
  <si>
    <t>ADC1, IN3</t>
  </si>
  <si>
    <t>HAL_ADC_INT_TEMP</t>
  </si>
  <si>
    <t>Int_Temp</t>
  </si>
  <si>
    <t>HAL_ADC_TEMP_AMB</t>
  </si>
  <si>
    <t>Variable Name</t>
  </si>
  <si>
    <t>Messages to EPC</t>
  </si>
  <si>
    <t xml:space="preserve">Min </t>
  </si>
  <si>
    <t>EPC Set working mode; Message ID: 0xYY0</t>
  </si>
  <si>
    <t>YY is the EPC identificator</t>
  </si>
  <si>
    <t>Bit length</t>
  </si>
  <si>
    <t>0x00</t>
  </si>
  <si>
    <t>0x64</t>
  </si>
  <si>
    <t>Enabled</t>
  </si>
  <si>
    <t>This signal enabled/disables the EPC.
0 = EPC control disabled
1 = EPC control enabled
Default value: 0</t>
  </si>
  <si>
    <t>Controller CAN identificar</t>
  </si>
  <si>
    <t>Mode</t>
  </si>
  <si>
    <t>Used control mode: 
0 = WAIT
1 =  Voltage control mode (CV)
2 = Current control mode (CC)
3 =  Power control mode (CP)
Default value: 0</t>
  </si>
  <si>
    <t>0x65</t>
  </si>
  <si>
    <t>0x80</t>
  </si>
  <si>
    <t>Limit Type</t>
  </si>
  <si>
    <t>Type of the finish condition used for control. 
Available condition types:
0 = TIME: the mode ends when the time specified by the limit value has elapsed (ms).
1 = VOLTAGE: If not in CV mode, the cycle ends when the voltage indicated by the limit value is reached (mV).
2 = CURRENT: If not in CC mode, the cycle ends when the current indicated by the limit value is reached (mA).
3 = POWER: If not in CW mode, the cycle ends when the voltage indicated by the limit value is reached (mW).</t>
  </si>
  <si>
    <t>Set point</t>
  </si>
  <si>
    <t>signed</t>
  </si>
  <si>
    <t>Refrence value used to apply control modes. Desired value (voltage, current and power) to reach on each control mode.</t>
  </si>
  <si>
    <t>Limit value</t>
  </si>
  <si>
    <t>Limit value used as stop condition (ms, mV, mA, mW)</t>
  </si>
  <si>
    <t>EPC Request data; Message ID: 0xYY1</t>
  </si>
  <si>
    <t>Request info</t>
  </si>
  <si>
    <t>EPC LS Voltage limits configuration; Message ID: 0xYY2</t>
  </si>
  <si>
    <t>LS Voltage Max</t>
  </si>
  <si>
    <t>If LS voltage goes above it, device is disabled and LS Voltage error is raise.</t>
  </si>
  <si>
    <t>LS Voltage Min</t>
  </si>
  <si>
    <t>If LS voltage goes below it, device is disabled and LS Voltage error is raise.</t>
  </si>
  <si>
    <t>EPC LS Current limits configuration; Message ID: 0xYY3</t>
  </si>
  <si>
    <t>LS Current Max</t>
  </si>
  <si>
    <t>If LS current goes above it, device is disabled and LS Current error is raise.</t>
  </si>
  <si>
    <t>LS Current Min</t>
  </si>
  <si>
    <t>If LS current goes below it, device is disabled and LS Current error is raise.</t>
  </si>
  <si>
    <t>EPC HS Voltage limits configuration; Message ID: 0xYY4</t>
  </si>
  <si>
    <t>HS Voltage Max</t>
  </si>
  <si>
    <t>If HS voltage goes above it, device is disabled and HS Voltage error is raise.</t>
  </si>
  <si>
    <t>HS Voltage Min</t>
  </si>
  <si>
    <t>If HS voltage goes below it, device is disabled and HS Voltage error is raise.</t>
  </si>
  <si>
    <t>Power Charge Max</t>
  </si>
  <si>
    <t>If HS current goes above it, device is disabled and HS Current error is raise.</t>
  </si>
  <si>
    <t>Power Discharge Min</t>
  </si>
  <si>
    <t>If HS current goes below it, device is disabled and HS Current error is raise.</t>
  </si>
  <si>
    <t>Temperature Max</t>
  </si>
  <si>
    <t>mºC</t>
  </si>
  <si>
    <t>If any temperature sensor goes above it, device is disabled and Temperature error is raised.</t>
  </si>
  <si>
    <t>Temperature Min</t>
  </si>
  <si>
    <t>If any temperature sensor goes below it, device is disabled and HS Current error is raised.</t>
  </si>
  <si>
    <t>Enable user ACK</t>
  </si>
  <si>
    <t>If 1, the EPC will require a message from the user on the defined period. If not received, it will disable the power flow</t>
  </si>
  <si>
    <t>User ACK period</t>
  </si>
  <si>
    <t>10 ms</t>
  </si>
  <si>
    <t>unsigned</t>
  </si>
  <si>
    <t>Period used to receive life signal from the user</t>
  </si>
  <si>
    <t>Enable electrical measures periodic message</t>
  </si>
  <si>
    <t>If 1, enables the sending of electrical measures message</t>
  </si>
  <si>
    <t>Electrical electrical measures period</t>
  </si>
  <si>
    <t>Period used to send electrical measures message.</t>
  </si>
  <si>
    <t>Enable temperature periodic message</t>
  </si>
  <si>
    <t>If 1, enables the sending of periodic temperatures message</t>
  </si>
  <si>
    <t>Temperature period</t>
  </si>
  <si>
    <t>Period used to send temperatures message.</t>
  </si>
  <si>
    <t>Messages  from EPC</t>
  </si>
  <si>
    <t>EPC to external controller</t>
  </si>
  <si>
    <t>EPC Info details; Message ID: 0xYYA</t>
  </si>
  <si>
    <t>Device id</t>
  </si>
  <si>
    <t>Device identificator</t>
  </si>
  <si>
    <t>Firmware version</t>
  </si>
  <si>
    <t>Hardware version</t>
  </si>
  <si>
    <t>EPC Status registers; Message ID: 0xYYB</t>
  </si>
  <si>
    <t>HS Voltage error (voltage out of limits)</t>
  </si>
  <si>
    <t>0 - No error detected
1 - Error raised due to voltage exceeds limits on HS</t>
  </si>
  <si>
    <t>LS Voltage error (voltage out of limits)</t>
  </si>
  <si>
    <t>0 - No error detected
1 - Error raised due to voltage exceeds limits on LS</t>
  </si>
  <si>
    <t>LS Current error (current of of limits)</t>
  </si>
  <si>
    <t>0 - No error detected
1 - Error raised due to current exceeds limits on HS</t>
  </si>
  <si>
    <t>Communication error</t>
  </si>
  <si>
    <t>0 - No error detected
1 - Error detected due an communication error, bad field on received message, CRC, unknown message id…</t>
  </si>
  <si>
    <t>Temperature</t>
  </si>
  <si>
    <t xml:space="preserve">0 - No error detected
1 - Temperature exceeds the security range. </t>
  </si>
  <si>
    <t>Internal error</t>
  </si>
  <si>
    <t>0 - No error detected
1 - Internal error detected</t>
  </si>
  <si>
    <t>Error value</t>
  </si>
  <si>
    <t>Value of the last raised error</t>
  </si>
  <si>
    <t>EPC Electrical Measures, Message ID: 0xYYC</t>
  </si>
  <si>
    <t>LS Voltage</t>
  </si>
  <si>
    <t>Instantaneous EPC voltage on low side</t>
  </si>
  <si>
    <t>LS Current</t>
  </si>
  <si>
    <t>Instantaneous EPC current on low side</t>
  </si>
  <si>
    <t>HS Voltage</t>
  </si>
  <si>
    <t>Instantaneous EPC voltage on high side</t>
  </si>
  <si>
    <t>EPC Temperature Measures, Message ID: 0xYYD</t>
  </si>
  <si>
    <t>Temp Body</t>
  </si>
  <si>
    <t>Temperatue on battery body</t>
  </si>
  <si>
    <t>Temp Anode</t>
  </si>
  <si>
    <t>Temperatue on battery anode</t>
  </si>
  <si>
    <t>Temp Ambient</t>
  </si>
  <si>
    <t>Temperatue on ambient</t>
  </si>
  <si>
    <t>If Ack is enabled on register Config, 
each message is responded 
from EPC with the applied data</t>
  </si>
  <si>
    <t>EPC Power limits configuration; Message ID: 0xYY5</t>
  </si>
  <si>
    <t>EPC Temperature limits configuration; Message ID: 0xYY6</t>
  </si>
  <si>
    <t>EPC Response configuration; Message ID: 0xYY7</t>
  </si>
  <si>
    <t>Bit</t>
  </si>
  <si>
    <t>Low Side (Input of the EPC with lower voltage)</t>
  </si>
  <si>
    <t>The maximum response time for communication is 10 ms (100 Hz)</t>
  </si>
  <si>
    <t xml:space="preserve"> - APP_IFACE</t>
  </si>
  <si>
    <t>To each message without response request, the EPC will response with the register updated to check signal integrity, if there is an error in the message the values won´t be updated.</t>
  </si>
  <si>
    <t>Time limit reference maximum value is 4294967295 ms (3 days)</t>
  </si>
  <si>
    <t>0 = WAIT
1 = Voltage control mode (CV)
2 = Current control mode (CC)
3 = Power control mode (CP)
4 = IDLE
5 = ERROR</t>
  </si>
  <si>
    <t>The status after all errors are cleared will be IDLE without any consign</t>
  </si>
  <si>
    <t>When the limit is reached or the output is disabled, the new defauls state will be IDLE</t>
  </si>
  <si>
    <t>Tamb</t>
  </si>
  <si>
    <t>Tbody</t>
  </si>
  <si>
    <t>Tanode_type</t>
  </si>
  <si>
    <t>Connector</t>
  </si>
  <si>
    <t>Vent</t>
  </si>
  <si>
    <t>HW Rev</t>
  </si>
  <si>
    <t>Reserved</t>
  </si>
  <si>
    <t>0: No anode
1:  Ring
2: Plastic</t>
  </si>
  <si>
    <t>3: Reserved</t>
  </si>
  <si>
    <t>0: 18650</t>
  </si>
  <si>
    <t>1: Banana</t>
  </si>
  <si>
    <t>2: Reserved</t>
  </si>
  <si>
    <t>4: Reserved</t>
  </si>
  <si>
    <t>5: Reserved</t>
  </si>
  <si>
    <t>6: Reserved</t>
  </si>
  <si>
    <t>0: No vent</t>
  </si>
  <si>
    <t>1: Vent</t>
  </si>
  <si>
    <t>0: Rev A</t>
  </si>
  <si>
    <t>1: Reserved</t>
  </si>
  <si>
    <t>0: No sensor</t>
  </si>
  <si>
    <t>1: Plastic NTC</t>
  </si>
  <si>
    <t>1: Ring NTC</t>
  </si>
  <si>
    <t>2: Plastic NTC</t>
  </si>
  <si>
    <t>1: STS_SENS</t>
  </si>
  <si>
    <t>0: No STS</t>
  </si>
  <si>
    <t>Request data messages.
0 = Request info register, message with ID 0xYYA
1 = Request control register, message with ID 0xYY0
2 = Request status register and error value register, message with ID 0xYYB
3 = Request electrical measures registers, message with ID 0xYYC
4 = Request temperature measures registers, message with ID 0xYYD
5 = Void request, for ACK
6 = Request LS Voltage limits configuration, message with ID
7 = Request LS Current limits configuration, message with ID
8 = Request HS Voltage limits configuration, message with ID
9 = Request Power limits configuration, message with ID
A = Request Temperature limits configuration, message with ID</t>
  </si>
  <si>
    <t>Serial Number</t>
  </si>
  <si>
    <t>The minimum control step for the reference and limit values are 1 mA // mV // dW // ms</t>
  </si>
  <si>
    <t>SYS128</t>
  </si>
  <si>
    <t>,</t>
  </si>
  <si>
    <t>The possible limit for wait mode is only time</t>
  </si>
  <si>
    <r>
      <rPr>
        <b/>
        <sz val="11"/>
        <color theme="1"/>
        <rFont val="Calibri"/>
        <family val="2"/>
        <scheme val="minor"/>
      </rPr>
      <t>V6</t>
    </r>
    <r>
      <rPr>
        <sz val="11"/>
        <color theme="1"/>
        <rFont val="Calibri"/>
        <family val="2"/>
        <scheme val="minor"/>
      </rPr>
      <t xml:space="preserve">: 
- First versions from @Iulian in spanish translated and reviewed
- Interal links between SYS // SW // HW Reqs added
</t>
    </r>
    <r>
      <rPr>
        <b/>
        <sz val="11"/>
        <color theme="1"/>
        <rFont val="Calibri"/>
        <family val="2"/>
        <scheme val="minor"/>
      </rPr>
      <t>V7</t>
    </r>
    <r>
      <rPr>
        <sz val="11"/>
        <color theme="1"/>
        <rFont val="Calibri"/>
        <family val="2"/>
        <scheme val="minor"/>
      </rPr>
      <t xml:space="preserve">:
- SW_reqs initialized
- Registers included
- SYS026 HS min value changed to 5v4
- SYS041, SYS042 changed to -15, 65 ºC
- SYS045, SYS046 changed to -15, 65 ºC
- SYS049, SYS050 changed to -15, 65 ºC
- SYS043, SYS047, SYS051 changed to +-0.5
- resolution changed to accuracy
- limit for wait only time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</si>
</sst>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 tint="-0.249977111117893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dotted">
        <color auto="1"/>
      </bottom>
      <diagonal/>
    </border>
    <border>
      <left style="medium">
        <color auto="1"/>
      </left>
      <right/>
      <top style="hair">
        <color auto="1"/>
      </top>
      <bottom style="dotted">
        <color auto="1"/>
      </bottom>
      <diagonal/>
    </border>
    <border>
      <left/>
      <right style="medium">
        <color auto="1"/>
      </right>
      <top style="hair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3" fillId="6" borderId="37" applyNumberFormat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</cellStyleXfs>
  <cellXfs count="209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8" fillId="2" borderId="12" xfId="0" applyFont="1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wrapText="1"/>
    </xf>
    <xf numFmtId="0" fontId="1" fillId="2" borderId="15" xfId="0" applyFont="1" applyFill="1" applyBorder="1" applyAlignment="1">
      <alignment horizontal="righ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" fillId="2" borderId="0" xfId="0" applyFont="1" applyFill="1" applyBorder="1" applyAlignment="1">
      <alignment horizontal="right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6" fillId="2" borderId="0" xfId="3" applyFill="1"/>
    <xf numFmtId="0" fontId="1" fillId="2" borderId="0" xfId="0" applyFont="1" applyFill="1"/>
    <xf numFmtId="0" fontId="0" fillId="2" borderId="0" xfId="0" applyFill="1" applyAlignment="1">
      <alignment horizontal="center"/>
    </xf>
    <xf numFmtId="0" fontId="0" fillId="2" borderId="0" xfId="0" quotePrefix="1" applyFill="1"/>
    <xf numFmtId="17" fontId="0" fillId="2" borderId="0" xfId="0" applyNumberFormat="1" applyFill="1"/>
    <xf numFmtId="0" fontId="4" fillId="2" borderId="0" xfId="0" applyFont="1" applyFill="1"/>
    <xf numFmtId="0" fontId="0" fillId="2" borderId="0" xfId="0" applyFont="1" applyFill="1" applyAlignment="1">
      <alignment wrapText="1"/>
    </xf>
    <xf numFmtId="0" fontId="0" fillId="2" borderId="0" xfId="0" quotePrefix="1" applyFont="1" applyFill="1" applyAlignment="1">
      <alignment wrapText="1"/>
    </xf>
    <xf numFmtId="0" fontId="1" fillId="2" borderId="0" xfId="0" quotePrefix="1" applyFont="1" applyFill="1" applyAlignment="1">
      <alignment wrapText="1"/>
    </xf>
    <xf numFmtId="0" fontId="0" fillId="2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left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/>
    </xf>
    <xf numFmtId="0" fontId="0" fillId="2" borderId="20" xfId="0" applyFill="1" applyBorder="1" applyAlignment="1">
      <alignment horizontal="left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19" xfId="0" applyFill="1" applyBorder="1" applyAlignment="1">
      <alignment horizontal="left" vertical="center"/>
    </xf>
    <xf numFmtId="0" fontId="0" fillId="4" borderId="19" xfId="0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4" borderId="19" xfId="0" applyFill="1" applyBorder="1" applyAlignment="1">
      <alignment horizontal="left" vertical="center" wrapText="1"/>
    </xf>
    <xf numFmtId="0" fontId="0" fillId="2" borderId="19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2" borderId="1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8" xfId="0" applyFill="1" applyBorder="1" applyAlignment="1">
      <alignment horizontal="left" vertical="center"/>
    </xf>
    <xf numFmtId="0" fontId="0" fillId="2" borderId="21" xfId="0" applyFill="1" applyBorder="1" applyAlignment="1">
      <alignment horizontal="center" vertical="center"/>
    </xf>
    <xf numFmtId="0" fontId="0" fillId="2" borderId="21" xfId="0" applyFill="1" applyBorder="1" applyAlignment="1">
      <alignment horizontal="left" vertical="center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 wrapText="1"/>
    </xf>
    <xf numFmtId="0" fontId="0" fillId="4" borderId="20" xfId="0" applyFill="1" applyBorder="1" applyAlignment="1">
      <alignment horizontal="left"/>
    </xf>
    <xf numFmtId="0" fontId="0" fillId="2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0" fontId="0" fillId="2" borderId="12" xfId="0" applyFill="1" applyBorder="1" applyAlignment="1">
      <alignment horizontal="left" wrapText="1"/>
    </xf>
    <xf numFmtId="0" fontId="0" fillId="2" borderId="1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wrapText="1"/>
    </xf>
    <xf numFmtId="0" fontId="0" fillId="2" borderId="19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0" fillId="2" borderId="0" xfId="0" quotePrefix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2" borderId="0" xfId="3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0" fillId="2" borderId="0" xfId="0" quotePrefix="1" applyFont="1" applyFill="1" applyAlignment="1">
      <alignment horizontal="center" vertical="center" wrapText="1"/>
    </xf>
    <xf numFmtId="0" fontId="1" fillId="2" borderId="0" xfId="0" quotePrefix="1" applyFont="1" applyFill="1" applyAlignment="1">
      <alignment horizontal="center" vertical="center" wrapText="1"/>
    </xf>
    <xf numFmtId="0" fontId="0" fillId="4" borderId="18" xfId="0" applyFill="1" applyBorder="1" applyAlignment="1">
      <alignment horizontal="left" vertical="center" wrapText="1"/>
    </xf>
    <xf numFmtId="0" fontId="1" fillId="2" borderId="0" xfId="0" applyFont="1" applyFill="1" applyAlignment="1">
      <alignment horizontal="left" wrapText="1"/>
    </xf>
    <xf numFmtId="0" fontId="0" fillId="2" borderId="0" xfId="0" applyFill="1" applyAlignment="1">
      <alignment horizontal="left" wrapText="1"/>
    </xf>
    <xf numFmtId="0" fontId="0" fillId="4" borderId="18" xfId="0" quotePrefix="1" applyFill="1" applyBorder="1" applyAlignment="1">
      <alignment horizontal="center" vertical="center" wrapText="1"/>
    </xf>
    <xf numFmtId="0" fontId="0" fillId="4" borderId="18" xfId="0" quotePrefix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horizontal="left"/>
    </xf>
    <xf numFmtId="0" fontId="0" fillId="2" borderId="19" xfId="0" quotePrefix="1" applyFill="1" applyBorder="1" applyAlignment="1">
      <alignment horizontal="left" vertical="center" wrapText="1"/>
    </xf>
    <xf numFmtId="0" fontId="0" fillId="4" borderId="19" xfId="0" quotePrefix="1" applyFill="1" applyBorder="1" applyAlignment="1">
      <alignment horizontal="left" vertical="center" wrapText="1"/>
    </xf>
    <xf numFmtId="0" fontId="0" fillId="2" borderId="19" xfId="0" quotePrefix="1" applyFill="1" applyBorder="1" applyAlignment="1">
      <alignment horizontal="center" vertical="center" wrapText="1"/>
    </xf>
    <xf numFmtId="0" fontId="0" fillId="4" borderId="19" xfId="0" quotePrefix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0" fillId="4" borderId="19" xfId="0" quotePrefix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0" fillId="2" borderId="19" xfId="0" quotePrefix="1" applyFill="1" applyBorder="1" applyAlignment="1">
      <alignment horizontal="center" vertical="center"/>
    </xf>
    <xf numFmtId="0" fontId="4" fillId="0" borderId="0" xfId="0" applyFont="1"/>
    <xf numFmtId="0" fontId="11" fillId="0" borderId="0" xfId="4" applyFont="1" applyFill="1" applyAlignment="1">
      <alignment horizontal="center" vertical="center"/>
    </xf>
    <xf numFmtId="0" fontId="11" fillId="0" borderId="0" xfId="4" applyFont="1" applyFill="1" applyAlignment="1">
      <alignment horizontal="center"/>
    </xf>
    <xf numFmtId="0" fontId="11" fillId="0" borderId="0" xfId="4" quotePrefix="1" applyFont="1" applyFill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1" fillId="0" borderId="0" xfId="4" applyFont="1" applyFill="1" applyAlignment="1">
      <alignment horizontal="center" vertical="center"/>
    </xf>
    <xf numFmtId="0" fontId="0" fillId="2" borderId="28" xfId="0" applyFill="1" applyBorder="1" applyAlignment="1">
      <alignment horizontal="center" vertical="center" wrapText="1"/>
    </xf>
    <xf numFmtId="0" fontId="0" fillId="2" borderId="28" xfId="0" quotePrefix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/>
    </xf>
    <xf numFmtId="0" fontId="0" fillId="4" borderId="33" xfId="0" quotePrefix="1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2" borderId="33" xfId="0" applyFill="1" applyBorder="1" applyAlignment="1">
      <alignment horizontal="center" vertical="center" wrapText="1"/>
    </xf>
    <xf numFmtId="0" fontId="0" fillId="2" borderId="33" xfId="0" quotePrefix="1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/>
    </xf>
    <xf numFmtId="0" fontId="0" fillId="4" borderId="36" xfId="0" quotePrefix="1" applyFill="1" applyBorder="1" applyAlignment="1">
      <alignment horizontal="center" vertical="center" wrapText="1"/>
    </xf>
    <xf numFmtId="0" fontId="0" fillId="4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8" borderId="37" xfId="7" applyBorder="1"/>
    <xf numFmtId="0" fontId="12" fillId="9" borderId="0" xfId="8"/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7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Font="1" applyAlignment="1">
      <alignment vertical="center"/>
    </xf>
    <xf numFmtId="0" fontId="0" fillId="0" borderId="0" xfId="0" applyFont="1"/>
    <xf numFmtId="0" fontId="0" fillId="2" borderId="19" xfId="0" applyFill="1" applyBorder="1" applyAlignment="1">
      <alignment horizontal="center" vertical="center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/>
    </xf>
    <xf numFmtId="0" fontId="0" fillId="2" borderId="21" xfId="0" applyFill="1" applyBorder="1" applyAlignment="1">
      <alignment horizontal="left" vertical="center" wrapText="1"/>
    </xf>
    <xf numFmtId="0" fontId="0" fillId="2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2" borderId="19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1" fillId="0" borderId="0" xfId="4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4" borderId="1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 wrapText="1"/>
    </xf>
    <xf numFmtId="0" fontId="0" fillId="4" borderId="24" xfId="0" applyFill="1" applyBorder="1" applyAlignment="1">
      <alignment horizontal="left" vertical="center" wrapText="1"/>
    </xf>
    <xf numFmtId="0" fontId="0" fillId="4" borderId="25" xfId="0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 wrapText="1"/>
    </xf>
    <xf numFmtId="0" fontId="0" fillId="2" borderId="25" xfId="0" applyFill="1" applyBorder="1" applyAlignment="1">
      <alignment horizontal="left" vertical="center" wrapText="1"/>
    </xf>
    <xf numFmtId="0" fontId="0" fillId="4" borderId="25" xfId="0" applyFill="1" applyBorder="1" applyAlignment="1">
      <alignment horizontal="left" vertical="center" wrapText="1"/>
    </xf>
    <xf numFmtId="0" fontId="0" fillId="4" borderId="24" xfId="0" quotePrefix="1" applyFill="1" applyBorder="1" applyAlignment="1">
      <alignment horizontal="left" vertical="center" wrapText="1"/>
    </xf>
    <xf numFmtId="0" fontId="0" fillId="4" borderId="25" xfId="0" quotePrefix="1" applyFill="1" applyBorder="1" applyAlignment="1">
      <alignment horizontal="left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 wrapText="1"/>
    </xf>
    <xf numFmtId="0" fontId="0" fillId="4" borderId="32" xfId="0" applyFill="1" applyBorder="1" applyAlignment="1">
      <alignment horizontal="center" vertical="center" wrapText="1"/>
    </xf>
    <xf numFmtId="0" fontId="0" fillId="4" borderId="34" xfId="0" applyFill="1" applyBorder="1" applyAlignment="1">
      <alignment horizontal="center" vertical="center" wrapText="1"/>
    </xf>
    <xf numFmtId="0" fontId="0" fillId="4" borderId="35" xfId="0" applyFill="1" applyBorder="1" applyAlignment="1">
      <alignment horizontal="center" vertical="center" wrapText="1"/>
    </xf>
    <xf numFmtId="0" fontId="0" fillId="4" borderId="26" xfId="0" applyFill="1" applyBorder="1" applyAlignment="1">
      <alignment horizontal="center"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2" borderId="2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0" fillId="10" borderId="0" xfId="9" applyFont="1" applyAlignment="1">
      <alignment horizontal="center"/>
    </xf>
    <xf numFmtId="0" fontId="12" fillId="10" borderId="0" xfId="9" applyAlignment="1">
      <alignment horizontal="center"/>
    </xf>
    <xf numFmtId="0" fontId="7" fillId="0" borderId="0" xfId="0" applyFont="1" applyAlignment="1">
      <alignment horizontal="center" vertical="center" wrapText="1"/>
    </xf>
    <xf numFmtId="0" fontId="14" fillId="11" borderId="0" xfId="10" applyFont="1" applyAlignment="1">
      <alignment horizontal="center"/>
    </xf>
    <xf numFmtId="0" fontId="12" fillId="7" borderId="0" xfId="6" applyAlignment="1">
      <alignment horizontal="center" vertical="center"/>
    </xf>
    <xf numFmtId="0" fontId="7" fillId="0" borderId="0" xfId="0" applyFont="1" applyAlignment="1">
      <alignment horizontal="center" wrapText="1"/>
    </xf>
    <xf numFmtId="0" fontId="14" fillId="12" borderId="0" xfId="0" applyFont="1" applyFill="1" applyAlignment="1">
      <alignment horizontal="center"/>
    </xf>
    <xf numFmtId="0" fontId="12" fillId="11" borderId="0" xfId="10" applyAlignment="1">
      <alignment horizontal="center"/>
    </xf>
    <xf numFmtId="0" fontId="13" fillId="6" borderId="37" xfId="5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4" borderId="20" xfId="0" applyFill="1" applyBorder="1" applyAlignment="1">
      <alignment horizontal="center" vertical="center" wrapText="1"/>
    </xf>
  </cellXfs>
  <cellStyles count="11">
    <cellStyle name="20% - Énfasis1" xfId="6" builtinId="30"/>
    <cellStyle name="20% - Énfasis3" xfId="8" builtinId="38"/>
    <cellStyle name="40% - Énfasis2" xfId="7" builtinId="35"/>
    <cellStyle name="40% - Énfasis4" xfId="9" builtinId="43"/>
    <cellStyle name="40% - Énfasis5" xfId="10" builtinId="47"/>
    <cellStyle name="Bueno" xfId="4" builtinId="26"/>
    <cellStyle name="Cálculo" xfId="5" builtinId="22"/>
    <cellStyle name="Hipervínculo" xfId="3" builtinId="8"/>
    <cellStyle name="Normal" xfId="0" builtinId="0"/>
    <cellStyle name="Normal 2" xfId="1" xr:uid="{00000000-0005-0000-0000-000001000000}"/>
    <cellStyle name="Título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32E7F-2169-4DF6-B597-026D97E08659}">
  <sheetPr codeName="Hoja1"/>
  <dimension ref="B2:C16"/>
  <sheetViews>
    <sheetView workbookViewId="0">
      <selection activeCell="C22" sqref="C22"/>
    </sheetView>
  </sheetViews>
  <sheetFormatPr baseColWidth="10" defaultColWidth="11.5703125" defaultRowHeight="15" x14ac:dyDescent="0.25"/>
  <cols>
    <col min="1" max="1" width="8.28515625" style="3" customWidth="1"/>
    <col min="2" max="2" width="20" style="3" customWidth="1"/>
    <col min="3" max="3" width="50.85546875" style="3" customWidth="1"/>
    <col min="4" max="16384" width="11.5703125" style="3"/>
  </cols>
  <sheetData>
    <row r="2" spans="2:3" ht="15.75" thickBot="1" x14ac:dyDescent="0.3"/>
    <row r="3" spans="2:3" x14ac:dyDescent="0.25">
      <c r="B3" s="142" t="s">
        <v>199</v>
      </c>
      <c r="C3" s="143"/>
    </row>
    <row r="4" spans="2:3" x14ac:dyDescent="0.25">
      <c r="B4" s="144"/>
      <c r="C4" s="145"/>
    </row>
    <row r="5" spans="2:3" x14ac:dyDescent="0.25">
      <c r="B5" s="4"/>
      <c r="C5" s="5"/>
    </row>
    <row r="6" spans="2:3" ht="30" x14ac:dyDescent="0.25">
      <c r="B6" s="62" t="s">
        <v>602</v>
      </c>
      <c r="C6" s="61" t="s">
        <v>603</v>
      </c>
    </row>
    <row r="7" spans="2:3" x14ac:dyDescent="0.25">
      <c r="B7" s="4"/>
      <c r="C7" s="5"/>
    </row>
    <row r="8" spans="2:3" x14ac:dyDescent="0.25">
      <c r="B8" s="8" t="s">
        <v>200</v>
      </c>
      <c r="C8" s="9" t="str">
        <f ca="1">LEFT(RIGHT(CELL("nombrearchivo"),LEN(CELL("nombrearchivo"))-FIND("[",CELL("nombrearchivo"))), FIND(".",RIGHT(CELL("nombrearchivo"),LEN(CELL("nombrearchivo"))-FIND("[",CELL("nombrearchivo"))))-1)</f>
        <v>Sys_requirements_v7</v>
      </c>
    </row>
    <row r="9" spans="2:3" x14ac:dyDescent="0.25">
      <c r="B9" s="4"/>
      <c r="C9" s="5"/>
    </row>
    <row r="10" spans="2:3" x14ac:dyDescent="0.25">
      <c r="B10" s="8" t="s">
        <v>599</v>
      </c>
      <c r="C10" s="9" t="s">
        <v>600</v>
      </c>
    </row>
    <row r="11" spans="2:3" x14ac:dyDescent="0.25">
      <c r="B11" s="4"/>
      <c r="C11" s="5"/>
    </row>
    <row r="12" spans="2:3" x14ac:dyDescent="0.25">
      <c r="B12" s="8" t="s">
        <v>601</v>
      </c>
      <c r="C12" s="60">
        <v>45076</v>
      </c>
    </row>
    <row r="13" spans="2:3" x14ac:dyDescent="0.25">
      <c r="B13" s="63"/>
      <c r="C13" s="64"/>
    </row>
    <row r="14" spans="2:3" ht="210" x14ac:dyDescent="0.25">
      <c r="B14" s="66" t="s">
        <v>604</v>
      </c>
      <c r="C14" s="65" t="s">
        <v>948</v>
      </c>
    </row>
    <row r="15" spans="2:3" x14ac:dyDescent="0.25">
      <c r="B15" s="63"/>
      <c r="C15" s="64"/>
    </row>
    <row r="16" spans="2:3" ht="15.75" thickBot="1" x14ac:dyDescent="0.3">
      <c r="B16" s="6"/>
      <c r="C16" s="7"/>
    </row>
  </sheetData>
  <mergeCells count="1">
    <mergeCell ref="B3:C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7FE9-77D8-411D-A9CD-9FD42D470C1F}">
  <sheetPr codeName="Hoja2"/>
  <dimension ref="B2:C18"/>
  <sheetViews>
    <sheetView workbookViewId="0">
      <selection activeCell="F8" sqref="F7:F8"/>
    </sheetView>
  </sheetViews>
  <sheetFormatPr baseColWidth="10" defaultColWidth="11.5703125" defaultRowHeight="15" x14ac:dyDescent="0.25"/>
  <cols>
    <col min="1" max="1" width="8.28515625" style="3" customWidth="1"/>
    <col min="2" max="2" width="11.5703125" style="3"/>
    <col min="3" max="3" width="57.7109375" style="3" customWidth="1"/>
    <col min="4" max="16384" width="11.5703125" style="3"/>
  </cols>
  <sheetData>
    <row r="2" spans="2:3" ht="15.75" thickBot="1" x14ac:dyDescent="0.3"/>
    <row r="3" spans="2:3" x14ac:dyDescent="0.25">
      <c r="B3" s="142" t="s">
        <v>201</v>
      </c>
      <c r="C3" s="143"/>
    </row>
    <row r="4" spans="2:3" x14ac:dyDescent="0.25">
      <c r="B4" s="144"/>
      <c r="C4" s="145"/>
    </row>
    <row r="5" spans="2:3" x14ac:dyDescent="0.25">
      <c r="B5" s="4"/>
      <c r="C5" s="5"/>
    </row>
    <row r="6" spans="2:3" x14ac:dyDescent="0.25">
      <c r="B6" s="8" t="s">
        <v>192</v>
      </c>
      <c r="C6" s="10" t="s">
        <v>193</v>
      </c>
    </row>
    <row r="7" spans="2:3" x14ac:dyDescent="0.25">
      <c r="B7" s="8" t="s">
        <v>194</v>
      </c>
      <c r="C7" s="10" t="s">
        <v>195</v>
      </c>
    </row>
    <row r="8" spans="2:3" x14ac:dyDescent="0.25">
      <c r="B8" s="8" t="s">
        <v>196</v>
      </c>
      <c r="C8" s="10" t="s">
        <v>909</v>
      </c>
    </row>
    <row r="9" spans="2:3" x14ac:dyDescent="0.25">
      <c r="B9" s="8" t="s">
        <v>197</v>
      </c>
      <c r="C9" s="10" t="s">
        <v>198</v>
      </c>
    </row>
    <row r="10" spans="2:3" x14ac:dyDescent="0.25">
      <c r="B10" s="8" t="s">
        <v>398</v>
      </c>
      <c r="C10" s="10" t="s">
        <v>399</v>
      </c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ht="15.75" thickBot="1" x14ac:dyDescent="0.3">
      <c r="B18" s="6"/>
      <c r="C18" s="7"/>
    </row>
  </sheetData>
  <mergeCells count="1">
    <mergeCell ref="B3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pageSetUpPr fitToPage="1"/>
  </sheetPr>
  <dimension ref="A1:AF530"/>
  <sheetViews>
    <sheetView tabSelected="1" topLeftCell="A79" workbookViewId="0">
      <selection activeCell="A93" sqref="A93:XFD93"/>
    </sheetView>
  </sheetViews>
  <sheetFormatPr baseColWidth="10" defaultColWidth="8.85546875" defaultRowHeight="15" x14ac:dyDescent="0.25"/>
  <cols>
    <col min="1" max="1" width="8.85546875" style="3"/>
    <col min="2" max="2" width="15" style="11" bestFit="1" customWidth="1"/>
    <col min="3" max="3" width="12" style="3" customWidth="1"/>
    <col min="4" max="4" width="72" style="45" customWidth="1"/>
    <col min="5" max="5" width="18.140625" style="11" customWidth="1"/>
    <col min="6" max="6" width="16.7109375" style="11" customWidth="1"/>
    <col min="7" max="7" width="21.28515625" style="3" customWidth="1"/>
    <col min="8" max="8" width="27.85546875" style="12" bestFit="1" customWidth="1"/>
    <col min="9" max="9" width="8.85546875" style="3"/>
    <col min="10" max="10" width="12.28515625" style="3" bestFit="1" customWidth="1"/>
    <col min="11" max="11" width="10.28515625" style="3" bestFit="1" customWidth="1"/>
    <col min="12" max="12" width="9.28515625" style="3" bestFit="1" customWidth="1"/>
    <col min="13" max="13" width="11.5703125" style="3" bestFit="1" customWidth="1"/>
    <col min="14" max="14" width="8.85546875" style="3"/>
    <col min="15" max="15" width="11.42578125" style="3" bestFit="1" customWidth="1"/>
    <col min="16" max="26" width="8.85546875" style="3"/>
    <col min="27" max="27" width="11.85546875" style="3" bestFit="1" customWidth="1"/>
    <col min="28" max="28" width="10" style="3" bestFit="1" customWidth="1"/>
    <col min="29" max="29" width="11.5703125" style="3" bestFit="1" customWidth="1"/>
    <col min="30" max="30" width="11.28515625" style="3" bestFit="1" customWidth="1"/>
    <col min="31" max="31" width="10.7109375" style="3" bestFit="1" customWidth="1"/>
    <col min="32" max="32" width="11.140625" style="3" bestFit="1" customWidth="1"/>
    <col min="33" max="16384" width="8.85546875" style="3"/>
  </cols>
  <sheetData>
    <row r="1" spans="2:32" ht="15.75" thickBot="1" x14ac:dyDescent="0.3">
      <c r="D1" s="42"/>
    </row>
    <row r="2" spans="2:32" ht="14.45" customHeight="1" x14ac:dyDescent="0.25">
      <c r="B2" s="142" t="s">
        <v>0</v>
      </c>
      <c r="C2" s="148"/>
      <c r="D2" s="148"/>
      <c r="E2" s="148"/>
      <c r="F2" s="148"/>
      <c r="G2" s="148"/>
      <c r="H2" s="143"/>
    </row>
    <row r="3" spans="2:32" ht="15" customHeight="1" thickBot="1" x14ac:dyDescent="0.3">
      <c r="B3" s="149"/>
      <c r="C3" s="150"/>
      <c r="D3" s="150"/>
      <c r="E3" s="150"/>
      <c r="F3" s="150"/>
      <c r="G3" s="150"/>
      <c r="H3" s="151"/>
    </row>
    <row r="4" spans="2:32" ht="15" customHeight="1" thickBot="1" x14ac:dyDescent="0.3">
      <c r="B4" s="152"/>
      <c r="C4" s="153"/>
      <c r="D4" s="153"/>
      <c r="E4" s="153"/>
      <c r="F4" s="153"/>
      <c r="G4" s="153"/>
      <c r="H4" s="154"/>
      <c r="AA4" s="13" t="s">
        <v>11</v>
      </c>
      <c r="AB4" s="14" t="s">
        <v>6</v>
      </c>
      <c r="AC4" s="14" t="s">
        <v>7</v>
      </c>
      <c r="AD4" s="14" t="s">
        <v>8</v>
      </c>
      <c r="AE4" s="14" t="s">
        <v>9</v>
      </c>
      <c r="AF4" s="15" t="s">
        <v>10</v>
      </c>
    </row>
    <row r="5" spans="2:32" ht="15.75" thickBot="1" x14ac:dyDescent="0.3">
      <c r="B5" s="155" t="s">
        <v>3</v>
      </c>
      <c r="C5" s="155" t="s">
        <v>1</v>
      </c>
      <c r="D5" s="146" t="s">
        <v>2</v>
      </c>
      <c r="E5" s="155" t="s">
        <v>3</v>
      </c>
      <c r="F5" s="155" t="s">
        <v>4</v>
      </c>
      <c r="G5" s="155" t="s">
        <v>5</v>
      </c>
      <c r="H5" s="146" t="s">
        <v>202</v>
      </c>
      <c r="AA5" s="16" t="s">
        <v>12</v>
      </c>
      <c r="AB5" s="17" t="s">
        <v>13</v>
      </c>
      <c r="AC5" s="17" t="s">
        <v>14</v>
      </c>
      <c r="AD5" s="17" t="s">
        <v>15</v>
      </c>
      <c r="AE5" s="17" t="s">
        <v>16</v>
      </c>
      <c r="AF5" s="18"/>
    </row>
    <row r="6" spans="2:32" ht="15.75" thickBot="1" x14ac:dyDescent="0.3">
      <c r="B6" s="156"/>
      <c r="C6" s="156"/>
      <c r="D6" s="147"/>
      <c r="E6" s="156"/>
      <c r="F6" s="156"/>
      <c r="G6" s="156"/>
      <c r="H6" s="147"/>
      <c r="AA6" s="19"/>
      <c r="AB6" s="20"/>
      <c r="AC6" s="20"/>
      <c r="AD6" s="20"/>
      <c r="AE6" s="20"/>
      <c r="AF6" s="20"/>
    </row>
    <row r="7" spans="2:32" ht="30" x14ac:dyDescent="0.25">
      <c r="B7" s="32" t="s">
        <v>296</v>
      </c>
      <c r="C7" s="32" t="s">
        <v>467</v>
      </c>
      <c r="D7" s="44" t="s">
        <v>317</v>
      </c>
      <c r="E7" s="32" t="s">
        <v>9</v>
      </c>
      <c r="F7" s="32" t="s">
        <v>13</v>
      </c>
      <c r="G7" s="34"/>
      <c r="H7" s="34" t="str">
        <f>CONCATENATE(BuscarCoincidencias(C7,SW_Req!$D$7:$D$1000,SW_Req!$C$7:$C$1000), ", ", BuscarCoincidencias(C7,HW_Req!$D$9:$D$1000,HW_Req!$C$7:$C$1000))</f>
        <v xml:space="preserve">, </v>
      </c>
    </row>
    <row r="8" spans="2:32" x14ac:dyDescent="0.25">
      <c r="B8" s="39" t="s">
        <v>296</v>
      </c>
      <c r="C8" s="39" t="s">
        <v>466</v>
      </c>
      <c r="D8" s="43" t="s">
        <v>318</v>
      </c>
      <c r="E8" s="39" t="s">
        <v>6</v>
      </c>
      <c r="F8" s="39" t="s">
        <v>13</v>
      </c>
      <c r="G8" s="39"/>
      <c r="H8" s="41"/>
    </row>
    <row r="9" spans="2:32" x14ac:dyDescent="0.25">
      <c r="B9" s="32" t="s">
        <v>296</v>
      </c>
      <c r="C9" s="57" t="s">
        <v>468</v>
      </c>
      <c r="D9" s="44" t="s">
        <v>312</v>
      </c>
      <c r="E9" s="32" t="s">
        <v>7</v>
      </c>
      <c r="F9" s="32" t="s">
        <v>13</v>
      </c>
      <c r="G9" s="34"/>
      <c r="H9" s="34" t="str">
        <f>CONCATENATE(BuscarCoincidencias(C9,SW_Req!$D$7:$D$1000,SW_Req!$C$7:$C$1000), ", ", BuscarCoincidencias(C9,HW_Req!$D$9:$D$1000,HW_Req!$C$7:$C$1000))</f>
        <v xml:space="preserve">, </v>
      </c>
    </row>
    <row r="10" spans="2:32" ht="14.25" customHeight="1" x14ac:dyDescent="0.25">
      <c r="B10" s="39" t="s">
        <v>296</v>
      </c>
      <c r="C10" s="39" t="s">
        <v>469</v>
      </c>
      <c r="D10" s="43" t="s">
        <v>313</v>
      </c>
      <c r="E10" s="39" t="s">
        <v>7</v>
      </c>
      <c r="F10" s="39" t="s">
        <v>13</v>
      </c>
      <c r="G10" s="39"/>
      <c r="H10" s="41" t="str">
        <f>CONCATENATE(BuscarCoincidencias(C10,SW_Req!$D$7:$D$1000,SW_Req!$C$7:$C$1000), ", ", BuscarCoincidencias(C10,HW_Req!$D$9:$D$1000,HW_Req!$C$7:$C$1000))</f>
        <v xml:space="preserve">, </v>
      </c>
    </row>
    <row r="11" spans="2:32" ht="14.25" customHeight="1" x14ac:dyDescent="0.25">
      <c r="B11" s="59" t="s">
        <v>296</v>
      </c>
      <c r="C11" s="59" t="s">
        <v>470</v>
      </c>
      <c r="D11" s="44" t="s">
        <v>593</v>
      </c>
      <c r="E11" s="59" t="s">
        <v>7</v>
      </c>
      <c r="F11" s="59" t="s">
        <v>13</v>
      </c>
      <c r="G11" s="58"/>
      <c r="H11" s="58"/>
    </row>
    <row r="12" spans="2:32" s="21" customFormat="1" x14ac:dyDescent="0.25">
      <c r="B12" s="39" t="s">
        <v>296</v>
      </c>
      <c r="C12" s="39" t="s">
        <v>471</v>
      </c>
      <c r="D12" s="43" t="s">
        <v>300</v>
      </c>
      <c r="E12" s="39" t="s">
        <v>7</v>
      </c>
      <c r="F12" s="39" t="s">
        <v>13</v>
      </c>
      <c r="G12" s="39" t="s">
        <v>72</v>
      </c>
      <c r="H12" s="41" t="str">
        <f>CONCATENATE(BuscarCoincidencias(C12,SW_Req!$D$7:$D$1000,SW_Req!$C$7:$C$1000), ", ", BuscarCoincidencias(C12,HW_Req!$D$9:$D$1000,HW_Req!$C$7:$C$1000))</f>
        <v xml:space="preserve">, </v>
      </c>
    </row>
    <row r="13" spans="2:32" ht="15" customHeight="1" x14ac:dyDescent="0.25">
      <c r="B13" s="59" t="s">
        <v>298</v>
      </c>
      <c r="C13" s="59" t="s">
        <v>472</v>
      </c>
      <c r="D13" s="44" t="s">
        <v>297</v>
      </c>
      <c r="E13" s="59" t="s">
        <v>6</v>
      </c>
      <c r="F13" s="59" t="s">
        <v>13</v>
      </c>
      <c r="G13" s="58" t="s">
        <v>72</v>
      </c>
      <c r="H13" s="58" t="str">
        <f>CONCATENATE(BuscarCoincidencias(C13,SW_Req!$D$7:$D$1000,SW_Req!$C$7:$C$1000), ", ", BuscarCoincidencias(C13,HW_Req!$D$9:$D$1000,HW_Req!$C$7:$C$1000))</f>
        <v xml:space="preserve">, </v>
      </c>
    </row>
    <row r="14" spans="2:32" ht="30" x14ac:dyDescent="0.25">
      <c r="B14" s="39" t="s">
        <v>298</v>
      </c>
      <c r="C14" s="39" t="s">
        <v>473</v>
      </c>
      <c r="D14" s="43" t="s">
        <v>303</v>
      </c>
      <c r="E14" s="39" t="s">
        <v>6</v>
      </c>
      <c r="F14" s="39" t="s">
        <v>13</v>
      </c>
      <c r="G14" s="39"/>
      <c r="H14" s="41" t="str">
        <f>CONCATENATE(BuscarCoincidencias(C14,SW_Req!$D$7:$D$1000,SW_Req!$C$7:$C$1000), ", ", BuscarCoincidencias(C14,HW_Req!$D$9:$D$1000,HW_Req!$C$7:$C$1000))</f>
        <v xml:space="preserve">, </v>
      </c>
      <c r="I14" s="23"/>
    </row>
    <row r="15" spans="2:32" ht="30" x14ac:dyDescent="0.25">
      <c r="B15" s="59" t="s">
        <v>298</v>
      </c>
      <c r="C15" s="59" t="s">
        <v>474</v>
      </c>
      <c r="D15" s="44" t="s">
        <v>316</v>
      </c>
      <c r="E15" s="59" t="s">
        <v>6</v>
      </c>
      <c r="F15" s="59" t="s">
        <v>13</v>
      </c>
      <c r="G15" s="58"/>
      <c r="H15" s="58"/>
    </row>
    <row r="16" spans="2:32" x14ac:dyDescent="0.25">
      <c r="B16" s="39" t="s">
        <v>298</v>
      </c>
      <c r="C16" s="39" t="s">
        <v>475</v>
      </c>
      <c r="D16" s="43" t="s">
        <v>301</v>
      </c>
      <c r="E16" s="39" t="s">
        <v>6</v>
      </c>
      <c r="F16" s="39" t="s">
        <v>13</v>
      </c>
      <c r="G16" s="39"/>
      <c r="H16" s="41" t="str">
        <f>CONCATENATE(BuscarCoincidencias(C16,SW_Req!$D$7:$D$1000,SW_Req!$C$7:$C$1000), ", ", BuscarCoincidencias(C16,HW_Req!$D$9:$D$1000,HW_Req!$C$7:$C$1000))</f>
        <v xml:space="preserve">, </v>
      </c>
    </row>
    <row r="17" spans="2:8" x14ac:dyDescent="0.25">
      <c r="B17" s="59" t="s">
        <v>298</v>
      </c>
      <c r="C17" s="59" t="s">
        <v>476</v>
      </c>
      <c r="D17" s="44" t="s">
        <v>299</v>
      </c>
      <c r="E17" s="59" t="s">
        <v>6</v>
      </c>
      <c r="F17" s="59" t="s">
        <v>15</v>
      </c>
      <c r="G17" s="58"/>
      <c r="H17" s="58" t="str">
        <f>CONCATENATE(BuscarCoincidencias(C17,SW_Req!$D$7:$D$1000,SW_Req!$C$7:$C$1000), ", ", BuscarCoincidencias(C17,HW_Req!$D$9:$D$1000,HW_Req!$C$7:$C$1000))</f>
        <v xml:space="preserve">, </v>
      </c>
    </row>
    <row r="18" spans="2:8" ht="30" x14ac:dyDescent="0.25">
      <c r="B18" s="39" t="s">
        <v>304</v>
      </c>
      <c r="C18" s="39" t="s">
        <v>477</v>
      </c>
      <c r="D18" s="43" t="s">
        <v>302</v>
      </c>
      <c r="E18" s="39" t="s">
        <v>6</v>
      </c>
      <c r="F18" s="39" t="s">
        <v>13</v>
      </c>
      <c r="G18" s="39"/>
      <c r="H18" s="41" t="str">
        <f>CONCATENATE(BuscarCoincidencias(C18,SW_Req!$D$7:$D$1000,SW_Req!$C$7:$C$1000), ", ", BuscarCoincidencias(C18,HW_Req!$D$9:$D$1000,HW_Req!$C$7:$C$1000))</f>
        <v xml:space="preserve">, </v>
      </c>
    </row>
    <row r="19" spans="2:8" x14ac:dyDescent="0.25">
      <c r="B19" s="59" t="s">
        <v>304</v>
      </c>
      <c r="C19" s="59" t="s">
        <v>478</v>
      </c>
      <c r="D19" s="44" t="s">
        <v>307</v>
      </c>
      <c r="E19" s="59" t="s">
        <v>6</v>
      </c>
      <c r="F19" s="59" t="s">
        <v>13</v>
      </c>
      <c r="G19" s="58"/>
      <c r="H19" s="58" t="str">
        <f>CONCATENATE(BuscarCoincidencias(C19,SW_Req!$D$7:$D$1000,SW_Req!$C$7:$C$1000), ", ", BuscarCoincidencias(C19,HW_Req!$D$9:$D$1000,HW_Req!$C$7:$C$1000))</f>
        <v xml:space="preserve">, </v>
      </c>
    </row>
    <row r="20" spans="2:8" x14ac:dyDescent="0.25">
      <c r="B20" s="39" t="s">
        <v>304</v>
      </c>
      <c r="C20" s="39" t="s">
        <v>479</v>
      </c>
      <c r="D20" s="43" t="s">
        <v>305</v>
      </c>
      <c r="E20" s="39" t="s">
        <v>6</v>
      </c>
      <c r="F20" s="39" t="s">
        <v>13</v>
      </c>
      <c r="G20" s="39"/>
      <c r="H20" s="41" t="str">
        <f>CONCATENATE(BuscarCoincidencias(C20,SW_Req!$D$7:$D$1000,SW_Req!$C$7:$C$1000), ", ", BuscarCoincidencias(C20,HW_Req!$D$9:$D$1000,HW_Req!$C$7:$C$1000))</f>
        <v xml:space="preserve">, </v>
      </c>
    </row>
    <row r="21" spans="2:8" ht="30" x14ac:dyDescent="0.25">
      <c r="B21" s="59" t="s">
        <v>304</v>
      </c>
      <c r="C21" s="59" t="s">
        <v>480</v>
      </c>
      <c r="D21" s="44" t="s">
        <v>372</v>
      </c>
      <c r="E21" s="59" t="s">
        <v>6</v>
      </c>
      <c r="F21" s="59" t="s">
        <v>13</v>
      </c>
      <c r="G21" s="58"/>
      <c r="H21" s="58" t="str">
        <f>CONCATENATE(BuscarCoincidencias(C21,SW_Req!$D$7:$D$1000,SW_Req!$C$7:$C$1000), ", ", BuscarCoincidencias(C21,HW_Req!$D$9:$D$1000,HW_Req!$C$7:$C$1000))</f>
        <v xml:space="preserve">, </v>
      </c>
    </row>
    <row r="22" spans="2:8" x14ac:dyDescent="0.25">
      <c r="B22" s="39" t="s">
        <v>304</v>
      </c>
      <c r="C22" s="39" t="s">
        <v>481</v>
      </c>
      <c r="D22" s="43" t="s">
        <v>308</v>
      </c>
      <c r="E22" s="39" t="s">
        <v>6</v>
      </c>
      <c r="F22" s="39" t="s">
        <v>15</v>
      </c>
      <c r="G22" s="39"/>
      <c r="H22" s="41" t="str">
        <f>CONCATENATE(BuscarCoincidencias(C22,SW_Req!$D$7:$D$1000,SW_Req!$C$7:$C$1000), ", ", BuscarCoincidencias(C22,HW_Req!$D$9:$D$1000,HW_Req!$C$7:$C$1000))</f>
        <v xml:space="preserve">, </v>
      </c>
    </row>
    <row r="23" spans="2:8" ht="30" x14ac:dyDescent="0.25">
      <c r="B23" s="59" t="s">
        <v>304</v>
      </c>
      <c r="C23" s="59" t="s">
        <v>482</v>
      </c>
      <c r="D23" s="44" t="s">
        <v>306</v>
      </c>
      <c r="E23" s="59" t="s">
        <v>6</v>
      </c>
      <c r="F23" s="59" t="s">
        <v>15</v>
      </c>
      <c r="G23" s="58"/>
      <c r="H23" s="58" t="str">
        <f>CONCATENATE(BuscarCoincidencias(C23,SW_Req!$D$7:$D$1000,SW_Req!$C$7:$C$1000), ", ", BuscarCoincidencias(C23,HW_Req!$D$9:$D$1000,HW_Req!$C$7:$C$1000))</f>
        <v xml:space="preserve">, </v>
      </c>
    </row>
    <row r="24" spans="2:8" x14ac:dyDescent="0.25">
      <c r="B24" s="39" t="s">
        <v>304</v>
      </c>
      <c r="C24" s="39" t="s">
        <v>483</v>
      </c>
      <c r="D24" s="43" t="s">
        <v>594</v>
      </c>
      <c r="E24" s="39" t="s">
        <v>6</v>
      </c>
      <c r="F24" s="39" t="s">
        <v>13</v>
      </c>
      <c r="G24" s="39"/>
      <c r="H24" s="41" t="str">
        <f>CONCATENATE(BuscarCoincidencias(C24,SW_Req!$D$7:$D$1000,SW_Req!$C$7:$C$1000), ", ", BuscarCoincidencias(C24,HW_Req!$D$9:$D$1000,HW_Req!$C$7:$C$1000))</f>
        <v xml:space="preserve">, </v>
      </c>
    </row>
    <row r="25" spans="2:8" x14ac:dyDescent="0.25">
      <c r="B25" s="59" t="s">
        <v>304</v>
      </c>
      <c r="C25" s="59" t="s">
        <v>484</v>
      </c>
      <c r="D25" s="44" t="s">
        <v>310</v>
      </c>
      <c r="E25" s="59" t="s">
        <v>6</v>
      </c>
      <c r="F25" s="59" t="s">
        <v>13</v>
      </c>
      <c r="G25" s="58"/>
      <c r="H25" s="58" t="str">
        <f>CONCATENATE(BuscarCoincidencias(C25,SW_Req!$D$7:$D$1000,SW_Req!$C$7:$C$1000), ", ", BuscarCoincidencias(C25,HW_Req!$D$9:$D$1000,HW_Req!$C$7:$C$1000))</f>
        <v xml:space="preserve">, </v>
      </c>
    </row>
    <row r="26" spans="2:8" x14ac:dyDescent="0.25">
      <c r="B26" s="39" t="s">
        <v>304</v>
      </c>
      <c r="C26" s="39" t="s">
        <v>485</v>
      </c>
      <c r="D26" s="43" t="s">
        <v>309</v>
      </c>
      <c r="E26" s="39" t="s">
        <v>6</v>
      </c>
      <c r="F26" s="39" t="s">
        <v>13</v>
      </c>
      <c r="G26" s="39"/>
      <c r="H26" s="41" t="str">
        <f>CONCATENATE(BuscarCoincidencias(C26,SW_Req!$D$7:$D$1000,SW_Req!$C$7:$C$1000), ", ", BuscarCoincidencias(C26,HW_Req!$D$9:$D$1000,HW_Req!$C$7:$C$1000))</f>
        <v xml:space="preserve">, </v>
      </c>
    </row>
    <row r="27" spans="2:8" ht="30" x14ac:dyDescent="0.25">
      <c r="B27" s="59" t="s">
        <v>304</v>
      </c>
      <c r="C27" s="59" t="s">
        <v>486</v>
      </c>
      <c r="D27" s="44" t="s">
        <v>373</v>
      </c>
      <c r="E27" s="59" t="s">
        <v>7</v>
      </c>
      <c r="F27" s="59" t="s">
        <v>13</v>
      </c>
      <c r="G27" s="58"/>
      <c r="H27" s="58" t="str">
        <f>CONCATENATE(BuscarCoincidencias(C27,SW_Req!$D$7:$D$1000,SW_Req!$C$7:$C$1000), ", ", BuscarCoincidencias(C27,HW_Req!$D$9:$D$1000,HW_Req!$C$7:$C$1000))</f>
        <v xml:space="preserve">, </v>
      </c>
    </row>
    <row r="28" spans="2:8" ht="30" x14ac:dyDescent="0.25">
      <c r="B28" s="39" t="s">
        <v>304</v>
      </c>
      <c r="C28" s="39" t="s">
        <v>487</v>
      </c>
      <c r="D28" s="43" t="s">
        <v>374</v>
      </c>
      <c r="E28" s="39" t="s">
        <v>7</v>
      </c>
      <c r="F28" s="39" t="s">
        <v>13</v>
      </c>
      <c r="G28" s="39"/>
      <c r="H28" s="41" t="str">
        <f>CONCATENATE(BuscarCoincidencias(C28,SW_Req!$D$7:$D$1000,SW_Req!$C$7:$C$1000), ", ", BuscarCoincidencias(C28,HW_Req!$D$9:$D$1000,HW_Req!$C$7:$C$1000))</f>
        <v xml:space="preserve">, </v>
      </c>
    </row>
    <row r="29" spans="2:8" x14ac:dyDescent="0.25">
      <c r="B29" s="59" t="s">
        <v>384</v>
      </c>
      <c r="C29" s="59" t="s">
        <v>488</v>
      </c>
      <c r="D29" s="44" t="s">
        <v>375</v>
      </c>
      <c r="E29" s="59" t="s">
        <v>7</v>
      </c>
      <c r="F29" s="59" t="s">
        <v>13</v>
      </c>
      <c r="G29" s="58"/>
      <c r="H29" s="58" t="str">
        <f>CONCATENATE(BuscarCoincidencias(C29,SW_Req!$D$7:$D$1000,SW_Req!$C$7:$C$1000), ", ", BuscarCoincidencias(C29,HW_Req!$D$9:$D$1000,HW_Req!$C$7:$C$1000))</f>
        <v xml:space="preserve">, </v>
      </c>
    </row>
    <row r="30" spans="2:8" x14ac:dyDescent="0.25">
      <c r="B30" s="39" t="s">
        <v>384</v>
      </c>
      <c r="C30" s="39" t="s">
        <v>489</v>
      </c>
      <c r="D30" s="43" t="s">
        <v>376</v>
      </c>
      <c r="E30" s="39" t="s">
        <v>7</v>
      </c>
      <c r="F30" s="39" t="s">
        <v>13</v>
      </c>
      <c r="G30" s="39"/>
      <c r="H30" s="41" t="str">
        <f>CONCATENATE(BuscarCoincidencias(C30,SW_Req!$D$7:$D$1000,SW_Req!$C$7:$C$1000), ", ", BuscarCoincidencias(C30,HW_Req!$D$9:$D$1000,HW_Req!$C$7:$C$1000))</f>
        <v xml:space="preserve">, </v>
      </c>
    </row>
    <row r="31" spans="2:8" x14ac:dyDescent="0.25">
      <c r="B31" s="59" t="s">
        <v>384</v>
      </c>
      <c r="C31" s="59" t="s">
        <v>490</v>
      </c>
      <c r="D31" s="44" t="s">
        <v>377</v>
      </c>
      <c r="E31" s="59" t="s">
        <v>7</v>
      </c>
      <c r="F31" s="59" t="s">
        <v>13</v>
      </c>
      <c r="G31" s="58"/>
      <c r="H31" s="58" t="str">
        <f>CONCATENATE(BuscarCoincidencias(C31,SW_Req!$D$7:$D$1000,SW_Req!$C$7:$C$1000), ", ", BuscarCoincidencias(C31,HW_Req!$D$9:$D$1000,HW_Req!$C$7:$C$1000))</f>
        <v xml:space="preserve">SW001, </v>
      </c>
    </row>
    <row r="32" spans="2:8" x14ac:dyDescent="0.25">
      <c r="B32" s="39" t="s">
        <v>384</v>
      </c>
      <c r="C32" s="39" t="s">
        <v>491</v>
      </c>
      <c r="D32" s="43" t="s">
        <v>626</v>
      </c>
      <c r="E32" s="39" t="s">
        <v>7</v>
      </c>
      <c r="F32" s="39" t="s">
        <v>13</v>
      </c>
      <c r="G32" s="39"/>
      <c r="H32" s="41" t="str">
        <f>CONCATENATE(BuscarCoincidencias(C32,SW_Req!$D$7:$D$1000,SW_Req!$C$7:$C$1000), ", ", BuscarCoincidencias(C32,HW_Req!$D$9:$D$1000,HW_Req!$C$7:$C$1000))</f>
        <v xml:space="preserve">SW001, </v>
      </c>
    </row>
    <row r="33" spans="2:8" x14ac:dyDescent="0.25">
      <c r="B33" s="59" t="s">
        <v>384</v>
      </c>
      <c r="C33" s="59" t="s">
        <v>492</v>
      </c>
      <c r="D33" s="44" t="s">
        <v>643</v>
      </c>
      <c r="E33" s="59" t="s">
        <v>7</v>
      </c>
      <c r="F33" s="59" t="s">
        <v>13</v>
      </c>
      <c r="G33" s="58"/>
      <c r="H33" s="58" t="str">
        <f>CONCATENATE(BuscarCoincidencias(C33,SW_Req!$D$7:$D$1000,SW_Req!$C$7:$C$1000), ", ", BuscarCoincidencias(C33,HW_Req!$D$9:$D$1000,HW_Req!$C$7:$C$1000))</f>
        <v xml:space="preserve">, </v>
      </c>
    </row>
    <row r="34" spans="2:8" x14ac:dyDescent="0.25">
      <c r="B34" s="39" t="s">
        <v>384</v>
      </c>
      <c r="C34" s="39" t="s">
        <v>493</v>
      </c>
      <c r="D34" s="43" t="s">
        <v>378</v>
      </c>
      <c r="E34" s="39" t="s">
        <v>7</v>
      </c>
      <c r="F34" s="39" t="s">
        <v>13</v>
      </c>
      <c r="G34" s="39"/>
      <c r="H34" s="41" t="str">
        <f>CONCATENATE(BuscarCoincidencias(C34,SW_Req!$D$7:$D$1000,SW_Req!$C$7:$C$1000), ", ", BuscarCoincidencias(C34,HW_Req!$D$9:$D$1000,HW_Req!$C$7:$C$1000))</f>
        <v xml:space="preserve">, </v>
      </c>
    </row>
    <row r="35" spans="2:8" x14ac:dyDescent="0.25">
      <c r="B35" s="59" t="s">
        <v>385</v>
      </c>
      <c r="C35" s="59" t="s">
        <v>494</v>
      </c>
      <c r="D35" s="44" t="s">
        <v>379</v>
      </c>
      <c r="E35" s="59" t="s">
        <v>7</v>
      </c>
      <c r="F35" s="59" t="s">
        <v>13</v>
      </c>
      <c r="G35" s="58"/>
      <c r="H35" s="58" t="str">
        <f>CONCATENATE(BuscarCoincidencias(C35,SW_Req!$D$7:$D$1000,SW_Req!$C$7:$C$1000), ", ", BuscarCoincidencias(C35,HW_Req!$D$9:$D$1000,HW_Req!$C$7:$C$1000))</f>
        <v xml:space="preserve">, </v>
      </c>
    </row>
    <row r="36" spans="2:8" x14ac:dyDescent="0.25">
      <c r="B36" s="39" t="s">
        <v>385</v>
      </c>
      <c r="C36" s="39" t="s">
        <v>495</v>
      </c>
      <c r="D36" s="43" t="s">
        <v>380</v>
      </c>
      <c r="E36" s="39" t="s">
        <v>7</v>
      </c>
      <c r="F36" s="39" t="s">
        <v>13</v>
      </c>
      <c r="G36" s="39"/>
      <c r="H36" s="41" t="str">
        <f>CONCATENATE(BuscarCoincidencias(C36,SW_Req!$D$7:$D$1000,SW_Req!$C$7:$C$1000), ", ", BuscarCoincidencias(C36,HW_Req!$D$9:$D$1000,HW_Req!$C$7:$C$1000))</f>
        <v xml:space="preserve">, </v>
      </c>
    </row>
    <row r="37" spans="2:8" x14ac:dyDescent="0.25">
      <c r="B37" s="59" t="s">
        <v>385</v>
      </c>
      <c r="C37" s="59" t="s">
        <v>496</v>
      </c>
      <c r="D37" s="44" t="s">
        <v>381</v>
      </c>
      <c r="E37" s="59" t="s">
        <v>7</v>
      </c>
      <c r="F37" s="59" t="s">
        <v>13</v>
      </c>
      <c r="G37" s="58"/>
      <c r="H37" s="58" t="str">
        <f>CONCATENATE(BuscarCoincidencias(C37,SW_Req!$D$7:$D$1000,SW_Req!$C$7:$C$1000), ", ", BuscarCoincidencias(C37,HW_Req!$D$9:$D$1000,HW_Req!$C$7:$C$1000))</f>
        <v xml:space="preserve">SW002, </v>
      </c>
    </row>
    <row r="38" spans="2:8" x14ac:dyDescent="0.25">
      <c r="B38" s="39" t="s">
        <v>385</v>
      </c>
      <c r="C38" s="39" t="s">
        <v>497</v>
      </c>
      <c r="D38" s="43" t="s">
        <v>382</v>
      </c>
      <c r="E38" s="39" t="s">
        <v>7</v>
      </c>
      <c r="F38" s="39" t="s">
        <v>13</v>
      </c>
      <c r="G38" s="39"/>
      <c r="H38" s="41" t="str">
        <f>CONCATENATE(BuscarCoincidencias(C38,SW_Req!$D$7:$D$1000,SW_Req!$C$7:$C$1000), ", ", BuscarCoincidencias(C38,HW_Req!$D$9:$D$1000,HW_Req!$C$7:$C$1000))</f>
        <v xml:space="preserve">SW002, </v>
      </c>
    </row>
    <row r="39" spans="2:8" x14ac:dyDescent="0.25">
      <c r="B39" s="59" t="s">
        <v>385</v>
      </c>
      <c r="C39" s="59" t="s">
        <v>498</v>
      </c>
      <c r="D39" s="44" t="s">
        <v>644</v>
      </c>
      <c r="E39" s="59" t="s">
        <v>7</v>
      </c>
      <c r="F39" s="59" t="s">
        <v>13</v>
      </c>
      <c r="G39" s="58"/>
      <c r="H39" s="58" t="str">
        <f>CONCATENATE(BuscarCoincidencias(C39,SW_Req!$D$7:$D$1000,SW_Req!$C$7:$C$1000), ", ", BuscarCoincidencias(C39,HW_Req!$D$9:$D$1000,HW_Req!$C$7:$C$1000))</f>
        <v xml:space="preserve">, </v>
      </c>
    </row>
    <row r="40" spans="2:8" x14ac:dyDescent="0.25">
      <c r="B40" s="39" t="s">
        <v>385</v>
      </c>
      <c r="C40" s="39" t="s">
        <v>499</v>
      </c>
      <c r="D40" s="43" t="s">
        <v>383</v>
      </c>
      <c r="E40" s="39" t="s">
        <v>7</v>
      </c>
      <c r="F40" s="39" t="s">
        <v>13</v>
      </c>
      <c r="G40" s="39"/>
      <c r="H40" s="41" t="str">
        <f>CONCATENATE(BuscarCoincidencias(C40,SW_Req!$D$7:$D$1000,SW_Req!$C$7:$C$1000), ", ", BuscarCoincidencias(C40,HW_Req!$D$9:$D$1000,HW_Req!$C$7:$C$1000))</f>
        <v xml:space="preserve">, </v>
      </c>
    </row>
    <row r="41" spans="2:8" x14ac:dyDescent="0.25">
      <c r="B41" s="59" t="s">
        <v>386</v>
      </c>
      <c r="C41" s="59" t="s">
        <v>500</v>
      </c>
      <c r="D41" s="44" t="s">
        <v>400</v>
      </c>
      <c r="E41" s="59" t="s">
        <v>7</v>
      </c>
      <c r="F41" s="59" t="s">
        <v>13</v>
      </c>
      <c r="G41" s="58"/>
      <c r="H41" s="58" t="str">
        <f>CONCATENATE(BuscarCoincidencias(C41,SW_Req!$D$7:$D$1000,SW_Req!$C$7:$C$1000), ", ", BuscarCoincidencias(C41,HW_Req!$D$9:$D$1000,HW_Req!$C$7:$C$1000))</f>
        <v xml:space="preserve">, </v>
      </c>
    </row>
    <row r="42" spans="2:8" x14ac:dyDescent="0.25">
      <c r="B42" s="39" t="s">
        <v>386</v>
      </c>
      <c r="C42" s="39" t="s">
        <v>501</v>
      </c>
      <c r="D42" s="43" t="s">
        <v>401</v>
      </c>
      <c r="E42" s="39" t="s">
        <v>7</v>
      </c>
      <c r="F42" s="39" t="s">
        <v>13</v>
      </c>
      <c r="G42" s="39"/>
      <c r="H42" s="41" t="str">
        <f>CONCATENATE(BuscarCoincidencias(C42,SW_Req!$D$7:$D$1000,SW_Req!$C$7:$C$1000), ", ", BuscarCoincidencias(C42,HW_Req!$D$9:$D$1000,HW_Req!$C$7:$C$1000))</f>
        <v xml:space="preserve">, </v>
      </c>
    </row>
    <row r="43" spans="2:8" x14ac:dyDescent="0.25">
      <c r="B43" s="59" t="s">
        <v>386</v>
      </c>
      <c r="C43" s="59" t="s">
        <v>502</v>
      </c>
      <c r="D43" s="44" t="s">
        <v>402</v>
      </c>
      <c r="E43" s="59" t="s">
        <v>7</v>
      </c>
      <c r="F43" s="59" t="s">
        <v>13</v>
      </c>
      <c r="G43" s="58"/>
      <c r="H43" s="58" t="str">
        <f>CONCATENATE(BuscarCoincidencias(C43,SW_Req!$D$7:$D$1000,SW_Req!$C$7:$C$1000), ", ", BuscarCoincidencias(C43,HW_Req!$D$9:$D$1000,HW_Req!$C$7:$C$1000))</f>
        <v xml:space="preserve">SW003, </v>
      </c>
    </row>
    <row r="44" spans="2:8" x14ac:dyDescent="0.25">
      <c r="B44" s="39" t="s">
        <v>386</v>
      </c>
      <c r="C44" s="39" t="s">
        <v>503</v>
      </c>
      <c r="D44" s="43" t="s">
        <v>403</v>
      </c>
      <c r="E44" s="39" t="s">
        <v>7</v>
      </c>
      <c r="F44" s="39" t="s">
        <v>13</v>
      </c>
      <c r="G44" s="39"/>
      <c r="H44" s="41" t="str">
        <f>CONCATENATE(BuscarCoincidencias(C44,SW_Req!$D$7:$D$1000,SW_Req!$C$7:$C$1000), ", ", BuscarCoincidencias(C44,HW_Req!$D$9:$D$1000,HW_Req!$C$7:$C$1000))</f>
        <v xml:space="preserve">SW003, </v>
      </c>
    </row>
    <row r="45" spans="2:8" x14ac:dyDescent="0.25">
      <c r="B45" s="59" t="s">
        <v>386</v>
      </c>
      <c r="C45" s="59" t="s">
        <v>504</v>
      </c>
      <c r="D45" s="44" t="s">
        <v>645</v>
      </c>
      <c r="E45" s="59" t="s">
        <v>7</v>
      </c>
      <c r="F45" s="59" t="s">
        <v>13</v>
      </c>
      <c r="G45" s="58"/>
      <c r="H45" s="58" t="str">
        <f>CONCATENATE(BuscarCoincidencias(C45,SW_Req!$D$7:$D$1000,SW_Req!$C$7:$C$1000), ", ", BuscarCoincidencias(C45,HW_Req!$D$9:$D$1000,HW_Req!$C$7:$C$1000))</f>
        <v xml:space="preserve">, </v>
      </c>
    </row>
    <row r="46" spans="2:8" x14ac:dyDescent="0.25">
      <c r="B46" s="39" t="s">
        <v>386</v>
      </c>
      <c r="C46" s="39" t="s">
        <v>505</v>
      </c>
      <c r="D46" s="43" t="s">
        <v>387</v>
      </c>
      <c r="E46" s="39" t="s">
        <v>7</v>
      </c>
      <c r="F46" s="39" t="s">
        <v>13</v>
      </c>
      <c r="G46" s="39"/>
      <c r="H46" s="41" t="str">
        <f>CONCATENATE(BuscarCoincidencias(C46,SW_Req!$D$7:$D$1000,SW_Req!$C$7:$C$1000), ", ", BuscarCoincidencias(C46,HW_Req!$D$9:$D$1000,HW_Req!$C$7:$C$1000))</f>
        <v xml:space="preserve">, </v>
      </c>
    </row>
    <row r="47" spans="2:8" x14ac:dyDescent="0.25">
      <c r="B47" s="59" t="s">
        <v>388</v>
      </c>
      <c r="C47" s="59" t="s">
        <v>506</v>
      </c>
      <c r="D47" s="44" t="s">
        <v>633</v>
      </c>
      <c r="E47" s="59" t="s">
        <v>7</v>
      </c>
      <c r="F47" s="59" t="s">
        <v>13</v>
      </c>
      <c r="G47" s="58"/>
      <c r="H47" s="58" t="str">
        <f>CONCATENATE(BuscarCoincidencias(C47,SW_Req!$D$7:$D$1000,SW_Req!$C$7:$C$1000), ", ", BuscarCoincidencias(C47,HW_Req!$D$9:$D$1000,HW_Req!$C$7:$C$1000))</f>
        <v xml:space="preserve">SW004, </v>
      </c>
    </row>
    <row r="48" spans="2:8" x14ac:dyDescent="0.25">
      <c r="B48" s="39" t="s">
        <v>388</v>
      </c>
      <c r="C48" s="39" t="s">
        <v>507</v>
      </c>
      <c r="D48" s="43" t="s">
        <v>634</v>
      </c>
      <c r="E48" s="39" t="s">
        <v>7</v>
      </c>
      <c r="F48" s="39" t="s">
        <v>13</v>
      </c>
      <c r="G48" s="39"/>
      <c r="H48" s="41" t="str">
        <f>CONCATENATE(BuscarCoincidencias(C48,SW_Req!$D$7:$D$1000,SW_Req!$C$7:$C$1000), ", ", BuscarCoincidencias(C48,HW_Req!$D$9:$D$1000,HW_Req!$C$7:$C$1000))</f>
        <v xml:space="preserve">SW004, </v>
      </c>
    </row>
    <row r="49" spans="2:13" x14ac:dyDescent="0.25">
      <c r="B49" s="59" t="s">
        <v>388</v>
      </c>
      <c r="C49" s="59" t="s">
        <v>508</v>
      </c>
      <c r="D49" s="44" t="s">
        <v>646</v>
      </c>
      <c r="E49" s="59" t="s">
        <v>7</v>
      </c>
      <c r="F49" s="59" t="s">
        <v>14</v>
      </c>
      <c r="G49" s="58"/>
      <c r="H49" s="58" t="str">
        <f>CONCATENATE(BuscarCoincidencias(C49,SW_Req!$D$7:$D$1000,SW_Req!$C$7:$C$1000), ", ", BuscarCoincidencias(C49,HW_Req!$D$9:$D$1000,HW_Req!$C$7:$C$1000))</f>
        <v xml:space="preserve">, </v>
      </c>
    </row>
    <row r="50" spans="2:13" x14ac:dyDescent="0.25">
      <c r="B50" s="39" t="s">
        <v>388</v>
      </c>
      <c r="C50" s="39" t="s">
        <v>509</v>
      </c>
      <c r="D50" s="43" t="s">
        <v>389</v>
      </c>
      <c r="E50" s="39" t="s">
        <v>7</v>
      </c>
      <c r="F50" s="39" t="s">
        <v>13</v>
      </c>
      <c r="G50" s="39"/>
      <c r="H50" s="41" t="str">
        <f>CONCATENATE(BuscarCoincidencias(C50,SW_Req!$D$7:$D$1000,SW_Req!$C$7:$C$1000), ", ", BuscarCoincidencias(C50,HW_Req!$D$9:$D$1000,HW_Req!$C$7:$C$1000))</f>
        <v xml:space="preserve">, </v>
      </c>
    </row>
    <row r="51" spans="2:13" x14ac:dyDescent="0.25">
      <c r="B51" s="59" t="s">
        <v>390</v>
      </c>
      <c r="C51" s="59" t="s">
        <v>510</v>
      </c>
      <c r="D51" s="44" t="s">
        <v>635</v>
      </c>
      <c r="E51" s="59" t="s">
        <v>7</v>
      </c>
      <c r="F51" s="59" t="s">
        <v>13</v>
      </c>
      <c r="G51" s="58"/>
      <c r="H51" s="58" t="str">
        <f>CONCATENATE(BuscarCoincidencias(C51,SW_Req!$D$7:$D$1000,SW_Req!$C$7:$C$1000), ", ", BuscarCoincidencias(C51,HW_Req!$D$9:$D$1000,HW_Req!$C$7:$C$1000))</f>
        <v xml:space="preserve">, </v>
      </c>
    </row>
    <row r="52" spans="2:13" x14ac:dyDescent="0.25">
      <c r="B52" s="39" t="s">
        <v>390</v>
      </c>
      <c r="C52" s="39" t="s">
        <v>511</v>
      </c>
      <c r="D52" s="43" t="s">
        <v>636</v>
      </c>
      <c r="E52" s="39" t="s">
        <v>7</v>
      </c>
      <c r="F52" s="39" t="s">
        <v>13</v>
      </c>
      <c r="G52" s="39"/>
      <c r="H52" s="41" t="str">
        <f>CONCATENATE(BuscarCoincidencias(C52,SW_Req!$D$7:$D$1000,SW_Req!$C$7:$C$1000), ", ", BuscarCoincidencias(C52,HW_Req!$D$9:$D$1000,HW_Req!$C$7:$C$1000))</f>
        <v xml:space="preserve">, </v>
      </c>
    </row>
    <row r="53" spans="2:13" x14ac:dyDescent="0.25">
      <c r="B53" s="59" t="s">
        <v>390</v>
      </c>
      <c r="C53" s="59" t="s">
        <v>512</v>
      </c>
      <c r="D53" s="44" t="s">
        <v>647</v>
      </c>
      <c r="E53" s="59" t="s">
        <v>7</v>
      </c>
      <c r="F53" s="59" t="s">
        <v>14</v>
      </c>
      <c r="G53" s="58"/>
      <c r="H53" s="58" t="str">
        <f>CONCATENATE(BuscarCoincidencias(C53,SW_Req!$D$7:$D$1000,SW_Req!$C$7:$C$1000), ", ", BuscarCoincidencias(C53,HW_Req!$D$9:$D$1000,HW_Req!$C$7:$C$1000))</f>
        <v xml:space="preserve">, </v>
      </c>
    </row>
    <row r="54" spans="2:13" x14ac:dyDescent="0.25">
      <c r="B54" s="39" t="s">
        <v>390</v>
      </c>
      <c r="C54" s="39" t="s">
        <v>513</v>
      </c>
      <c r="D54" s="43" t="s">
        <v>391</v>
      </c>
      <c r="E54" s="39" t="s">
        <v>7</v>
      </c>
      <c r="F54" s="39" t="s">
        <v>13</v>
      </c>
      <c r="G54" s="39"/>
      <c r="H54" s="41" t="str">
        <f>CONCATENATE(BuscarCoincidencias(C54,SW_Req!$D$7:$D$1000,SW_Req!$C$7:$C$1000), ", ", BuscarCoincidencias(C54,HW_Req!$D$9:$D$1000,HW_Req!$C$7:$C$1000))</f>
        <v xml:space="preserve">, </v>
      </c>
    </row>
    <row r="55" spans="2:13" x14ac:dyDescent="0.25">
      <c r="B55" s="59" t="s">
        <v>392</v>
      </c>
      <c r="C55" s="59" t="s">
        <v>514</v>
      </c>
      <c r="D55" s="44" t="s">
        <v>637</v>
      </c>
      <c r="E55" s="59" t="s">
        <v>7</v>
      </c>
      <c r="F55" s="59" t="s">
        <v>13</v>
      </c>
      <c r="G55" s="58"/>
      <c r="H55" s="58" t="str">
        <f>CONCATENATE(BuscarCoincidencias(C55,SW_Req!$D$7:$D$1000,SW_Req!$C$7:$C$1000), ", ", BuscarCoincidencias(C55,HW_Req!$D$9:$D$1000,HW_Req!$C$7:$C$1000))</f>
        <v xml:space="preserve">SW005, </v>
      </c>
    </row>
    <row r="56" spans="2:13" x14ac:dyDescent="0.25">
      <c r="B56" s="39" t="s">
        <v>392</v>
      </c>
      <c r="C56" s="39" t="s">
        <v>515</v>
      </c>
      <c r="D56" s="43" t="s">
        <v>638</v>
      </c>
      <c r="E56" s="39" t="s">
        <v>7</v>
      </c>
      <c r="F56" s="39" t="s">
        <v>13</v>
      </c>
      <c r="G56" s="39"/>
      <c r="H56" s="41" t="str">
        <f>CONCATENATE(BuscarCoincidencias(C56,SW_Req!$D$7:$D$1000,SW_Req!$C$7:$C$1000), ", ", BuscarCoincidencias(C56,HW_Req!$D$9:$D$1000,HW_Req!$C$7:$C$1000))</f>
        <v xml:space="preserve">SW005, </v>
      </c>
    </row>
    <row r="57" spans="2:13" x14ac:dyDescent="0.25">
      <c r="B57" s="59" t="s">
        <v>392</v>
      </c>
      <c r="C57" s="59" t="s">
        <v>516</v>
      </c>
      <c r="D57" s="44" t="s">
        <v>648</v>
      </c>
      <c r="E57" s="59" t="s">
        <v>7</v>
      </c>
      <c r="F57" s="59" t="s">
        <v>14</v>
      </c>
      <c r="G57" s="58"/>
      <c r="H57" s="58" t="str">
        <f>CONCATENATE(BuscarCoincidencias(C57,SW_Req!$D$7:$D$1000,SW_Req!$C$7:$C$1000), ", ", BuscarCoincidencias(C57,HW_Req!$D$9:$D$1000,HW_Req!$C$7:$C$1000))</f>
        <v xml:space="preserve">, </v>
      </c>
    </row>
    <row r="58" spans="2:13" x14ac:dyDescent="0.25">
      <c r="B58" s="39" t="s">
        <v>392</v>
      </c>
      <c r="C58" s="39" t="s">
        <v>517</v>
      </c>
      <c r="D58" s="43" t="s">
        <v>393</v>
      </c>
      <c r="E58" s="39" t="s">
        <v>7</v>
      </c>
      <c r="F58" s="39" t="s">
        <v>15</v>
      </c>
      <c r="G58" s="39"/>
      <c r="H58" s="41" t="str">
        <f>CONCATENATE(BuscarCoincidencias(C58,SW_Req!$D$7:$D$1000,SW_Req!$C$7:$C$1000), ", ", BuscarCoincidencias(C58,HW_Req!$D$9:$D$1000,HW_Req!$C$7:$C$1000))</f>
        <v xml:space="preserve">, </v>
      </c>
    </row>
    <row r="59" spans="2:13" x14ac:dyDescent="0.25">
      <c r="B59" s="59" t="s">
        <v>334</v>
      </c>
      <c r="C59" s="59" t="s">
        <v>518</v>
      </c>
      <c r="D59" s="44" t="s">
        <v>417</v>
      </c>
      <c r="E59" s="59" t="s">
        <v>6</v>
      </c>
      <c r="F59" s="59" t="s">
        <v>13</v>
      </c>
      <c r="G59" s="58"/>
      <c r="H59" s="58" t="str">
        <f>CONCATENATE(BuscarCoincidencias(C59,SW_Req!$D$7:$D$1000,SW_Req!$C$7:$C$1000), ", ", BuscarCoincidencias(C59,HW_Req!$D$9:$D$1000,HW_Req!$C$7:$C$1000))</f>
        <v xml:space="preserve">, </v>
      </c>
    </row>
    <row r="60" spans="2:13" x14ac:dyDescent="0.25">
      <c r="B60" s="39" t="s">
        <v>334</v>
      </c>
      <c r="C60" s="39" t="s">
        <v>519</v>
      </c>
      <c r="D60" s="43" t="s">
        <v>418</v>
      </c>
      <c r="E60" s="39" t="s">
        <v>6</v>
      </c>
      <c r="F60" s="39" t="s">
        <v>13</v>
      </c>
      <c r="G60" s="39"/>
      <c r="H60" s="41" t="str">
        <f>CONCATENATE(BuscarCoincidencias(C60,SW_Req!$D$7:$D$1000,SW_Req!$C$7:$C$1000), ", ", BuscarCoincidencias(C60,HW_Req!$D$9:$D$1000,HW_Req!$C$7:$C$1000))</f>
        <v xml:space="preserve">, </v>
      </c>
    </row>
    <row r="61" spans="2:13" x14ac:dyDescent="0.25">
      <c r="B61" s="59" t="s">
        <v>334</v>
      </c>
      <c r="C61" s="59" t="s">
        <v>520</v>
      </c>
      <c r="D61" s="44" t="s">
        <v>419</v>
      </c>
      <c r="E61" s="59" t="s">
        <v>6</v>
      </c>
      <c r="F61" s="59" t="s">
        <v>13</v>
      </c>
      <c r="G61" s="58"/>
      <c r="H61" s="58" t="str">
        <f>CONCATENATE(BuscarCoincidencias(C61,SW_Req!$D$7:$D$1000,SW_Req!$C$7:$C$1000), ", ", BuscarCoincidencias(C61,HW_Req!$D$9:$D$1000,HW_Req!$C$7:$C$1000))</f>
        <v xml:space="preserve">, </v>
      </c>
    </row>
    <row r="62" spans="2:13" x14ac:dyDescent="0.25">
      <c r="B62" s="39" t="s">
        <v>334</v>
      </c>
      <c r="C62" s="39" t="s">
        <v>521</v>
      </c>
      <c r="D62" s="43" t="s">
        <v>416</v>
      </c>
      <c r="E62" s="39" t="s">
        <v>6</v>
      </c>
      <c r="F62" s="39" t="s">
        <v>13</v>
      </c>
      <c r="G62" s="39"/>
      <c r="H62" s="41" t="str">
        <f>CONCATENATE(BuscarCoincidencias(C62,SW_Req!$D$7:$D$1000,SW_Req!$C$7:$C$1000), ", ", BuscarCoincidencias(C62,HW_Req!$D$9:$D$1000,HW_Req!$C$7:$C$1000))</f>
        <v xml:space="preserve">, </v>
      </c>
    </row>
    <row r="63" spans="2:13" ht="30" x14ac:dyDescent="0.25">
      <c r="B63" s="59" t="s">
        <v>334</v>
      </c>
      <c r="C63" s="59" t="s">
        <v>522</v>
      </c>
      <c r="D63" s="44" t="s">
        <v>415</v>
      </c>
      <c r="E63" s="59" t="s">
        <v>6</v>
      </c>
      <c r="F63" s="59" t="s">
        <v>13</v>
      </c>
      <c r="G63" s="58"/>
      <c r="H63" s="58"/>
    </row>
    <row r="64" spans="2:13" ht="30" x14ac:dyDescent="0.25">
      <c r="B64" s="39" t="s">
        <v>334</v>
      </c>
      <c r="C64" s="39" t="s">
        <v>523</v>
      </c>
      <c r="D64" s="43" t="s">
        <v>916</v>
      </c>
      <c r="E64" s="39"/>
      <c r="F64" s="39"/>
      <c r="G64" s="39"/>
      <c r="H64" s="41"/>
      <c r="M64" s="28"/>
    </row>
    <row r="65" spans="2:8" ht="30" x14ac:dyDescent="0.25">
      <c r="B65" s="59" t="s">
        <v>334</v>
      </c>
      <c r="C65" s="59" t="s">
        <v>524</v>
      </c>
      <c r="D65" s="44" t="s">
        <v>944</v>
      </c>
      <c r="E65" s="59" t="s">
        <v>6</v>
      </c>
      <c r="F65" s="59" t="s">
        <v>13</v>
      </c>
      <c r="G65" s="58"/>
      <c r="H65" s="58" t="str">
        <f>CONCATENATE(BuscarCoincidencias(C65,SW_Req!$D$7:$D$1000,SW_Req!$C$7:$C$1000), ", ", BuscarCoincidencias(C65,HW_Req!$D$9:$D$1000,HW_Req!$C$7:$C$1000))</f>
        <v xml:space="preserve">, </v>
      </c>
    </row>
    <row r="66" spans="2:8" x14ac:dyDescent="0.25">
      <c r="B66" s="39" t="s">
        <v>334</v>
      </c>
      <c r="C66" s="39" t="s">
        <v>525</v>
      </c>
      <c r="D66" s="43" t="s">
        <v>394</v>
      </c>
      <c r="E66" s="39" t="s">
        <v>6</v>
      </c>
      <c r="F66" s="39" t="s">
        <v>13</v>
      </c>
      <c r="G66" s="39"/>
      <c r="H66" s="41" t="str">
        <f>CONCATENATE(BuscarCoincidencias(C66,SW_Req!$D$7:$D$1000,SW_Req!$C$7:$C$1000), ", ", BuscarCoincidencias(C66,HW_Req!$D$9:$D$1000,HW_Req!$C$7:$C$1000))</f>
        <v xml:space="preserve">, </v>
      </c>
    </row>
    <row r="67" spans="2:8" x14ac:dyDescent="0.25">
      <c r="B67" s="59" t="s">
        <v>334</v>
      </c>
      <c r="C67" s="59" t="s">
        <v>526</v>
      </c>
      <c r="D67" s="44" t="s">
        <v>395</v>
      </c>
      <c r="E67" s="59" t="s">
        <v>6</v>
      </c>
      <c r="F67" s="59" t="s">
        <v>13</v>
      </c>
      <c r="G67" s="58"/>
      <c r="H67" s="58" t="str">
        <f>CONCATENATE(BuscarCoincidencias(C67,SW_Req!$D$7:$D$1000,SW_Req!$C$7:$C$1000), ", ", BuscarCoincidencias(C67,HW_Req!$D$9:$D$1000,HW_Req!$C$7:$C$1000))</f>
        <v xml:space="preserve">, </v>
      </c>
    </row>
    <row r="68" spans="2:8" x14ac:dyDescent="0.25">
      <c r="B68" s="39" t="s">
        <v>334</v>
      </c>
      <c r="C68" s="39" t="s">
        <v>527</v>
      </c>
      <c r="D68" s="43" t="s">
        <v>605</v>
      </c>
      <c r="E68" s="39"/>
      <c r="F68" s="39"/>
      <c r="G68" s="39"/>
      <c r="H68" s="41"/>
    </row>
    <row r="69" spans="2:8" x14ac:dyDescent="0.25">
      <c r="B69" s="59" t="s">
        <v>334</v>
      </c>
      <c r="C69" s="59" t="s">
        <v>528</v>
      </c>
      <c r="D69" s="44" t="s">
        <v>913</v>
      </c>
      <c r="E69" s="59"/>
      <c r="F69" s="59"/>
      <c r="G69" s="58"/>
      <c r="H69" s="58"/>
    </row>
    <row r="70" spans="2:8" x14ac:dyDescent="0.25">
      <c r="B70" s="39" t="s">
        <v>334</v>
      </c>
      <c r="C70" s="39" t="s">
        <v>529</v>
      </c>
      <c r="D70" s="43" t="s">
        <v>606</v>
      </c>
      <c r="E70" s="39"/>
      <c r="F70" s="39"/>
      <c r="G70" s="39"/>
      <c r="H70" s="41"/>
    </row>
    <row r="71" spans="2:8" x14ac:dyDescent="0.25">
      <c r="B71" s="59" t="s">
        <v>334</v>
      </c>
      <c r="C71" s="59" t="s">
        <v>530</v>
      </c>
      <c r="D71" s="44" t="s">
        <v>396</v>
      </c>
      <c r="E71" s="59" t="s">
        <v>6</v>
      </c>
      <c r="F71" s="59" t="s">
        <v>13</v>
      </c>
      <c r="G71" s="58"/>
      <c r="H71" s="58" t="str">
        <f>CONCATENATE(BuscarCoincidencias(C71,SW_Req!$D$7:$D$1000,SW_Req!$C$7:$C$1000), ", ", BuscarCoincidencias(C71,HW_Req!$D$9:$D$1000,HW_Req!$C$7:$C$1000))</f>
        <v xml:space="preserve">, </v>
      </c>
    </row>
    <row r="72" spans="2:8" ht="30" x14ac:dyDescent="0.25">
      <c r="B72" s="39" t="s">
        <v>334</v>
      </c>
      <c r="C72" s="39" t="s">
        <v>531</v>
      </c>
      <c r="D72" s="43" t="s">
        <v>397</v>
      </c>
      <c r="E72" s="39" t="s">
        <v>6</v>
      </c>
      <c r="F72" s="39" t="s">
        <v>13</v>
      </c>
      <c r="G72" s="39"/>
      <c r="H72" s="41" t="str">
        <f>CONCATENATE(BuscarCoincidencias(C72,SW_Req!$D$7:$D$1000,SW_Req!$C$7:$C$1000), ", ", BuscarCoincidencias(C72,HW_Req!$D$9:$D$1000,HW_Req!$C$7:$C$1000))</f>
        <v xml:space="preserve">, </v>
      </c>
    </row>
    <row r="73" spans="2:8" x14ac:dyDescent="0.25">
      <c r="B73" s="59" t="s">
        <v>334</v>
      </c>
      <c r="C73" s="59" t="s">
        <v>532</v>
      </c>
      <c r="D73" s="44" t="s">
        <v>404</v>
      </c>
      <c r="E73" s="59" t="s">
        <v>6</v>
      </c>
      <c r="F73" s="59" t="s">
        <v>13</v>
      </c>
      <c r="G73" s="58"/>
      <c r="H73" s="58" t="str">
        <f>CONCATENATE(BuscarCoincidencias(C73,SW_Req!$D$7:$D$1000,SW_Req!$C$7:$C$1000), ", ", BuscarCoincidencias(C73,HW_Req!$D$9:$D$1000,HW_Req!$C$7:$C$1000))</f>
        <v xml:space="preserve">, </v>
      </c>
    </row>
    <row r="74" spans="2:8" x14ac:dyDescent="0.25">
      <c r="B74" s="39" t="s">
        <v>334</v>
      </c>
      <c r="C74" s="39" t="s">
        <v>533</v>
      </c>
      <c r="D74" s="43" t="s">
        <v>405</v>
      </c>
      <c r="E74" s="39" t="s">
        <v>6</v>
      </c>
      <c r="F74" s="39" t="s">
        <v>14</v>
      </c>
      <c r="G74" s="39"/>
      <c r="H74" s="41" t="str">
        <f>CONCATENATE(BuscarCoincidencias(C74,SW_Req!$D$7:$D$1000,SW_Req!$C$7:$C$1000), ", ", BuscarCoincidencias(C74,HW_Req!$D$9:$D$1000,HW_Req!$C$7:$C$1000))</f>
        <v xml:space="preserve">, </v>
      </c>
    </row>
    <row r="75" spans="2:8" x14ac:dyDescent="0.25">
      <c r="B75" s="141" t="s">
        <v>334</v>
      </c>
      <c r="C75" s="141" t="s">
        <v>534</v>
      </c>
      <c r="D75" s="44" t="s">
        <v>406</v>
      </c>
      <c r="E75" s="141" t="s">
        <v>6</v>
      </c>
      <c r="F75" s="141" t="s">
        <v>14</v>
      </c>
      <c r="G75" s="140"/>
      <c r="H75" s="140" t="str">
        <f>CONCATENATE(BuscarCoincidencias(C75,SW_Req!$D$7:$D$1000,SW_Req!$C$7:$C$1000), ", ", BuscarCoincidencias(C75,HW_Req!$D$9:$D$1000,HW_Req!$C$7:$C$1000))</f>
        <v xml:space="preserve">, </v>
      </c>
    </row>
    <row r="76" spans="2:8" x14ac:dyDescent="0.25">
      <c r="B76" s="39" t="s">
        <v>334</v>
      </c>
      <c r="C76" s="39" t="s">
        <v>535</v>
      </c>
      <c r="D76" s="43" t="s">
        <v>409</v>
      </c>
      <c r="E76" s="39" t="s">
        <v>6</v>
      </c>
      <c r="F76" s="39" t="s">
        <v>13</v>
      </c>
      <c r="G76" s="39"/>
      <c r="H76" s="41" t="str">
        <f>CONCATENATE(BuscarCoincidencias(C76,SW_Req!$D$7:$D$1000,SW_Req!$C$7:$C$1000), ", ", BuscarCoincidencias(C76,HW_Req!$D$9:$D$1000,HW_Req!$C$7:$C$1000))</f>
        <v xml:space="preserve">, </v>
      </c>
    </row>
    <row r="77" spans="2:8" x14ac:dyDescent="0.25">
      <c r="B77" s="141" t="s">
        <v>334</v>
      </c>
      <c r="C77" s="141" t="s">
        <v>536</v>
      </c>
      <c r="D77" s="44" t="s">
        <v>407</v>
      </c>
      <c r="E77" s="141" t="s">
        <v>6</v>
      </c>
      <c r="F77" s="141" t="s">
        <v>13</v>
      </c>
      <c r="G77" s="140"/>
      <c r="H77" s="140" t="str">
        <f>CONCATENATE(BuscarCoincidencias(C77,SW_Req!$D$7:$D$1000,SW_Req!$C$7:$C$1000), ", ", BuscarCoincidencias(C77,HW_Req!$D$9:$D$1000,HW_Req!$C$7:$C$1000))</f>
        <v xml:space="preserve">, </v>
      </c>
    </row>
    <row r="78" spans="2:8" x14ac:dyDescent="0.25">
      <c r="B78" s="39" t="s">
        <v>334</v>
      </c>
      <c r="C78" s="39" t="s">
        <v>537</v>
      </c>
      <c r="D78" s="43" t="s">
        <v>408</v>
      </c>
      <c r="E78" s="39" t="s">
        <v>6</v>
      </c>
      <c r="F78" s="39" t="s">
        <v>13</v>
      </c>
      <c r="G78" s="39"/>
      <c r="H78" s="41" t="str">
        <f>CONCATENATE(BuscarCoincidencias(C78,SW_Req!$D$7:$D$1000,SW_Req!$C$7:$C$1000), ", ", BuscarCoincidencias(C78,HW_Req!$D$9:$D$1000,HW_Req!$C$7:$C$1000))</f>
        <v xml:space="preserve">, </v>
      </c>
    </row>
    <row r="79" spans="2:8" ht="15" customHeight="1" x14ac:dyDescent="0.25">
      <c r="B79" s="141" t="s">
        <v>334</v>
      </c>
      <c r="C79" s="141" t="s">
        <v>538</v>
      </c>
      <c r="D79" s="44" t="s">
        <v>412</v>
      </c>
      <c r="E79" s="141" t="s">
        <v>6</v>
      </c>
      <c r="F79" s="141" t="s">
        <v>13</v>
      </c>
      <c r="G79" s="140"/>
      <c r="H79" s="140" t="str">
        <f>CONCATENATE(BuscarCoincidencias(C79,SW_Req!$D$7:$D$1000,SW_Req!$C$7:$C$1000), ", ", BuscarCoincidencias(C79,HW_Req!$D$9:$D$1000,HW_Req!$C$7:$C$1000))</f>
        <v xml:space="preserve">, </v>
      </c>
    </row>
    <row r="80" spans="2:8" x14ac:dyDescent="0.25">
      <c r="B80" s="39" t="s">
        <v>334</v>
      </c>
      <c r="C80" s="39" t="s">
        <v>539</v>
      </c>
      <c r="D80" s="43" t="s">
        <v>413</v>
      </c>
      <c r="E80" s="39" t="s">
        <v>6</v>
      </c>
      <c r="F80" s="39" t="s">
        <v>13</v>
      </c>
      <c r="G80" s="39"/>
      <c r="H80" s="41" t="str">
        <f>CONCATENATE(BuscarCoincidencias(C80,SW_Req!$D$7:$D$1000,SW_Req!$C$7:$C$1000), ", ", BuscarCoincidencias(C80,HW_Req!$D$9:$D$1000,HW_Req!$C$7:$C$1000))</f>
        <v xml:space="preserve">, </v>
      </c>
    </row>
    <row r="81" spans="2:8" x14ac:dyDescent="0.25">
      <c r="B81" s="141" t="s">
        <v>334</v>
      </c>
      <c r="C81" s="141" t="s">
        <v>540</v>
      </c>
      <c r="D81" s="44" t="s">
        <v>414</v>
      </c>
      <c r="E81" s="141" t="s">
        <v>6</v>
      </c>
      <c r="F81" s="141" t="s">
        <v>13</v>
      </c>
      <c r="G81" s="140"/>
      <c r="H81" s="140" t="str">
        <f>CONCATENATE(BuscarCoincidencias(C81,SW_Req!$D$7:$D$1000,SW_Req!$C$7:$C$1000), ", ", BuscarCoincidencias(C81,HW_Req!$D$9:$D$1000,HW_Req!$C$7:$C$1000))</f>
        <v xml:space="preserve">, </v>
      </c>
    </row>
    <row r="82" spans="2:8" x14ac:dyDescent="0.25">
      <c r="B82" s="39" t="s">
        <v>334</v>
      </c>
      <c r="C82" s="39" t="s">
        <v>541</v>
      </c>
      <c r="D82" s="43" t="s">
        <v>947</v>
      </c>
      <c r="E82" s="39" t="s">
        <v>6</v>
      </c>
      <c r="F82" s="39" t="s">
        <v>13</v>
      </c>
      <c r="G82" s="39"/>
      <c r="H82" s="41" t="s">
        <v>946</v>
      </c>
    </row>
    <row r="83" spans="2:8" x14ac:dyDescent="0.25">
      <c r="B83" s="141" t="s">
        <v>334</v>
      </c>
      <c r="C83" s="141" t="s">
        <v>542</v>
      </c>
      <c r="D83" s="44" t="s">
        <v>429</v>
      </c>
      <c r="E83" s="141" t="s">
        <v>6</v>
      </c>
      <c r="F83" s="141" t="s">
        <v>13</v>
      </c>
      <c r="G83" s="140"/>
      <c r="H83" s="140" t="str">
        <f>CONCATENATE(BuscarCoincidencias(C83,SW_Req!$D$7:$D$1000,SW_Req!$C$7:$C$1000), ", ", BuscarCoincidencias(C83,HW_Req!$D$9:$D$1000,HW_Req!$C$7:$C$1000))</f>
        <v xml:space="preserve">SW008, </v>
      </c>
    </row>
    <row r="84" spans="2:8" x14ac:dyDescent="0.25">
      <c r="B84" s="39" t="s">
        <v>314</v>
      </c>
      <c r="C84" s="39" t="s">
        <v>543</v>
      </c>
      <c r="D84" s="43" t="s">
        <v>311</v>
      </c>
      <c r="E84" s="39" t="s">
        <v>7</v>
      </c>
      <c r="F84" s="39" t="s">
        <v>13</v>
      </c>
      <c r="G84" s="39"/>
      <c r="H84" s="41" t="str">
        <f>CONCATENATE(BuscarCoincidencias(C84,SW_Req!$D$7:$D$1000,SW_Req!$C$7:$C$1000), ", ", BuscarCoincidencias(C84,HW_Req!$D$9:$D$1000,HW_Req!$C$7:$C$1000))</f>
        <v xml:space="preserve">, </v>
      </c>
    </row>
    <row r="85" spans="2:8" x14ac:dyDescent="0.25">
      <c r="B85" s="141" t="s">
        <v>314</v>
      </c>
      <c r="C85" s="141" t="s">
        <v>544</v>
      </c>
      <c r="D85" s="44" t="s">
        <v>315</v>
      </c>
      <c r="E85" s="141" t="s">
        <v>6</v>
      </c>
      <c r="F85" s="141" t="s">
        <v>14</v>
      </c>
      <c r="G85" s="140"/>
      <c r="H85" s="140" t="str">
        <f>CONCATENATE(BuscarCoincidencias(C85,SW_Req!$D$7:$D$1000,SW_Req!$C$7:$C$1000), ", ", BuscarCoincidencias(C85,HW_Req!$D$9:$D$1000,HW_Req!$C$7:$C$1000))</f>
        <v xml:space="preserve">, </v>
      </c>
    </row>
    <row r="86" spans="2:8" ht="30" x14ac:dyDescent="0.25">
      <c r="B86" s="39" t="s">
        <v>314</v>
      </c>
      <c r="C86" s="39" t="s">
        <v>545</v>
      </c>
      <c r="D86" s="43" t="s">
        <v>465</v>
      </c>
      <c r="E86" s="39" t="s">
        <v>6</v>
      </c>
      <c r="F86" s="39" t="s">
        <v>14</v>
      </c>
      <c r="G86" s="39"/>
      <c r="H86" s="41"/>
    </row>
    <row r="87" spans="2:8" x14ac:dyDescent="0.25">
      <c r="B87" s="141" t="s">
        <v>314</v>
      </c>
      <c r="C87" s="141" t="s">
        <v>546</v>
      </c>
      <c r="D87" s="44" t="s">
        <v>410</v>
      </c>
      <c r="E87" s="141" t="s">
        <v>6</v>
      </c>
      <c r="F87" s="141" t="s">
        <v>13</v>
      </c>
      <c r="G87" s="140"/>
      <c r="H87" s="140" t="str">
        <f>CONCATENATE(BuscarCoincidencias(C87,SW_Req!$D$7:$D$1000,SW_Req!$C$7:$C$1000), ", ", BuscarCoincidencias(C87,HW_Req!$D$9:$D$1000,HW_Req!$C$7:$C$1000))</f>
        <v xml:space="preserve">, </v>
      </c>
    </row>
    <row r="88" spans="2:8" x14ac:dyDescent="0.25">
      <c r="B88" s="39" t="s">
        <v>314</v>
      </c>
      <c r="C88" s="39" t="s">
        <v>547</v>
      </c>
      <c r="D88" s="43" t="s">
        <v>411</v>
      </c>
      <c r="E88" s="39" t="s">
        <v>6</v>
      </c>
      <c r="F88" s="39" t="s">
        <v>13</v>
      </c>
      <c r="G88" s="39"/>
      <c r="H88" s="41" t="str">
        <f>CONCATENATE(BuscarCoincidencias(C88,SW_Req!$D$7:$D$1000,SW_Req!$C$7:$C$1000), ", ", BuscarCoincidencias(C88,HW_Req!$D$9:$D$1000,HW_Req!$C$7:$C$1000))</f>
        <v xml:space="preserve">, </v>
      </c>
    </row>
    <row r="89" spans="2:8" ht="45" x14ac:dyDescent="0.25">
      <c r="B89" s="141" t="s">
        <v>314</v>
      </c>
      <c r="C89" s="141" t="s">
        <v>548</v>
      </c>
      <c r="D89" s="44" t="s">
        <v>912</v>
      </c>
      <c r="E89" s="141" t="s">
        <v>6</v>
      </c>
      <c r="F89" s="141" t="s">
        <v>13</v>
      </c>
      <c r="G89" s="140"/>
      <c r="H89" s="140"/>
    </row>
    <row r="90" spans="2:8" ht="30" x14ac:dyDescent="0.25">
      <c r="B90" s="39" t="s">
        <v>428</v>
      </c>
      <c r="C90" s="39" t="s">
        <v>549</v>
      </c>
      <c r="D90" s="43" t="s">
        <v>420</v>
      </c>
      <c r="E90" s="39" t="s">
        <v>6</v>
      </c>
      <c r="F90" s="39" t="s">
        <v>13</v>
      </c>
      <c r="G90" s="39"/>
      <c r="H90" s="41" t="str">
        <f>CONCATENATE(BuscarCoincidencias(C90,SW_Req!$D$7:$D$1000,SW_Req!$C$7:$C$1000), ", ", BuscarCoincidencias(C90,HW_Req!$D$9:$D$1000,HW_Req!$C$7:$C$1000))</f>
        <v xml:space="preserve">, </v>
      </c>
    </row>
    <row r="91" spans="2:8" ht="30" x14ac:dyDescent="0.25">
      <c r="B91" s="141" t="s">
        <v>428</v>
      </c>
      <c r="C91" s="141" t="s">
        <v>550</v>
      </c>
      <c r="D91" s="44" t="s">
        <v>421</v>
      </c>
      <c r="E91" s="141" t="s">
        <v>6</v>
      </c>
      <c r="F91" s="141" t="s">
        <v>13</v>
      </c>
      <c r="G91" s="140"/>
      <c r="H91" s="140" t="str">
        <f>CONCATENATE(BuscarCoincidencias(C91,SW_Req!$D$7:$D$1000,SW_Req!$C$7:$C$1000), ", ", BuscarCoincidencias(C91,HW_Req!$D$9:$D$1000,HW_Req!$C$7:$C$1000))</f>
        <v xml:space="preserve">, </v>
      </c>
    </row>
    <row r="92" spans="2:8" ht="30" x14ac:dyDescent="0.25">
      <c r="B92" s="39" t="s">
        <v>428</v>
      </c>
      <c r="C92" s="39" t="s">
        <v>551</v>
      </c>
      <c r="D92" s="43" t="s">
        <v>423</v>
      </c>
      <c r="E92" s="39" t="s">
        <v>6</v>
      </c>
      <c r="F92" s="39" t="s">
        <v>13</v>
      </c>
      <c r="G92" s="39"/>
      <c r="H92" s="41" t="str">
        <f>CONCATENATE(BuscarCoincidencias(C92,SW_Req!$D$7:$D$1000,SW_Req!$C$7:$C$1000), ", ", BuscarCoincidencias(C92,HW_Req!$D$9:$D$1000,HW_Req!$C$7:$C$1000))</f>
        <v xml:space="preserve">, </v>
      </c>
    </row>
    <row r="93" spans="2:8" ht="30" x14ac:dyDescent="0.25">
      <c r="B93" s="141" t="s">
        <v>428</v>
      </c>
      <c r="C93" s="141" t="s">
        <v>552</v>
      </c>
      <c r="D93" s="44" t="s">
        <v>422</v>
      </c>
      <c r="E93" s="141" t="s">
        <v>6</v>
      </c>
      <c r="F93" s="141" t="s">
        <v>13</v>
      </c>
      <c r="G93" s="140"/>
      <c r="H93" s="140" t="str">
        <f>CONCATENATE(BuscarCoincidencias(C93,SW_Req!$D$7:$D$1000,SW_Req!$C$7:$C$1000), ", ", BuscarCoincidencias(C93,HW_Req!$D$9:$D$1000,HW_Req!$C$7:$C$1000))</f>
        <v xml:space="preserve">, </v>
      </c>
    </row>
    <row r="94" spans="2:8" ht="30" x14ac:dyDescent="0.25">
      <c r="B94" s="39" t="s">
        <v>428</v>
      </c>
      <c r="C94" s="39" t="s">
        <v>553</v>
      </c>
      <c r="D94" s="43" t="s">
        <v>424</v>
      </c>
      <c r="E94" s="39" t="s">
        <v>6</v>
      </c>
      <c r="F94" s="39" t="s">
        <v>13</v>
      </c>
      <c r="G94" s="39"/>
      <c r="H94" s="41" t="str">
        <f>CONCATENATE(BuscarCoincidencias(C94,SW_Req!$D$7:$D$1000,SW_Req!$C$7:$C$1000), ", ", BuscarCoincidencias(C94,HW_Req!$D$9:$D$1000,HW_Req!$C$7:$C$1000))</f>
        <v xml:space="preserve">, </v>
      </c>
    </row>
    <row r="95" spans="2:8" ht="30" x14ac:dyDescent="0.25">
      <c r="B95" s="141" t="s">
        <v>428</v>
      </c>
      <c r="C95" s="141" t="s">
        <v>554</v>
      </c>
      <c r="D95" s="44" t="s">
        <v>425</v>
      </c>
      <c r="E95" s="141" t="s">
        <v>6</v>
      </c>
      <c r="F95" s="141" t="s">
        <v>13</v>
      </c>
      <c r="G95" s="140"/>
      <c r="H95" s="140" t="str">
        <f>CONCATENATE(BuscarCoincidencias(C95,SW_Req!$D$7:$D$1000,SW_Req!$C$7:$C$1000), ", ", BuscarCoincidencias(C95,HW_Req!$D$9:$D$1000,HW_Req!$C$7:$C$1000))</f>
        <v xml:space="preserve">, </v>
      </c>
    </row>
    <row r="96" spans="2:8" ht="30" x14ac:dyDescent="0.25">
      <c r="B96" s="39" t="s">
        <v>428</v>
      </c>
      <c r="C96" s="39" t="s">
        <v>555</v>
      </c>
      <c r="D96" s="43" t="s">
        <v>426</v>
      </c>
      <c r="E96" s="39" t="s">
        <v>6</v>
      </c>
      <c r="F96" s="39" t="s">
        <v>15</v>
      </c>
      <c r="G96" s="39"/>
      <c r="H96" s="41" t="str">
        <f>CONCATENATE(BuscarCoincidencias(C96,SW_Req!$D$7:$D$1000,SW_Req!$C$7:$C$1000), ", ", BuscarCoincidencias(C96,HW_Req!$D$9:$D$1000,HW_Req!$C$7:$C$1000))</f>
        <v xml:space="preserve">SW006, </v>
      </c>
    </row>
    <row r="97" spans="2:8" ht="30" x14ac:dyDescent="0.25">
      <c r="B97" s="141" t="s">
        <v>428</v>
      </c>
      <c r="C97" s="141" t="s">
        <v>556</v>
      </c>
      <c r="D97" s="44" t="s">
        <v>427</v>
      </c>
      <c r="E97" s="141" t="s">
        <v>6</v>
      </c>
      <c r="F97" s="141" t="s">
        <v>15</v>
      </c>
      <c r="G97" s="140"/>
      <c r="H97" s="140" t="str">
        <f>CONCATENATE(BuscarCoincidencias(C97,SW_Req!$D$7:$D$1000,SW_Req!$C$7:$C$1000), ", ", BuscarCoincidencias(C97,HW_Req!$D$9:$D$1000,HW_Req!$C$7:$C$1000))</f>
        <v xml:space="preserve">SW006, </v>
      </c>
    </row>
    <row r="98" spans="2:8" ht="30" x14ac:dyDescent="0.25">
      <c r="B98" s="39" t="s">
        <v>428</v>
      </c>
      <c r="C98" s="39" t="s">
        <v>557</v>
      </c>
      <c r="D98" s="43" t="s">
        <v>430</v>
      </c>
      <c r="E98" s="39" t="s">
        <v>6</v>
      </c>
      <c r="F98" s="39" t="s">
        <v>13</v>
      </c>
      <c r="G98" s="39"/>
      <c r="H98" s="41" t="str">
        <f>CONCATENATE(BuscarCoincidencias(C98,SW_Req!$D$7:$D$1000,SW_Req!$C$7:$C$1000), ", ", BuscarCoincidencias(C98,HW_Req!$D$9:$D$1000,HW_Req!$C$7:$C$1000))</f>
        <v xml:space="preserve">, </v>
      </c>
    </row>
    <row r="99" spans="2:8" ht="30" x14ac:dyDescent="0.25">
      <c r="B99" s="141" t="s">
        <v>428</v>
      </c>
      <c r="C99" s="141" t="s">
        <v>558</v>
      </c>
      <c r="D99" s="44" t="s">
        <v>595</v>
      </c>
      <c r="E99" s="141" t="s">
        <v>6</v>
      </c>
      <c r="F99" s="141" t="s">
        <v>13</v>
      </c>
      <c r="G99" s="140"/>
      <c r="H99" s="140"/>
    </row>
    <row r="100" spans="2:8" ht="30" x14ac:dyDescent="0.25">
      <c r="B100" s="39" t="s">
        <v>428</v>
      </c>
      <c r="C100" s="39" t="s">
        <v>559</v>
      </c>
      <c r="D100" s="43" t="s">
        <v>451</v>
      </c>
      <c r="E100" s="39" t="s">
        <v>6</v>
      </c>
      <c r="F100" s="39" t="s">
        <v>13</v>
      </c>
      <c r="G100" s="39"/>
      <c r="H100" s="41"/>
    </row>
    <row r="101" spans="2:8" ht="30" x14ac:dyDescent="0.25">
      <c r="B101" s="141" t="s">
        <v>428</v>
      </c>
      <c r="C101" s="141" t="s">
        <v>560</v>
      </c>
      <c r="D101" s="44" t="s">
        <v>452</v>
      </c>
      <c r="E101" s="141" t="s">
        <v>6</v>
      </c>
      <c r="F101" s="141" t="s">
        <v>13</v>
      </c>
      <c r="G101" s="140"/>
      <c r="H101" s="140" t="str">
        <f>CONCATENATE(BuscarCoincidencias(C101,SW_Req!$D$7:$D$1000,SW_Req!$C$7:$C$1000), ", ", BuscarCoincidencias(C101,HW_Req!$D$9:$D$1000,HW_Req!$C$7:$C$1000))</f>
        <v xml:space="preserve">, </v>
      </c>
    </row>
    <row r="102" spans="2:8" x14ac:dyDescent="0.25">
      <c r="B102" s="39" t="s">
        <v>428</v>
      </c>
      <c r="C102" s="39" t="s">
        <v>561</v>
      </c>
      <c r="D102" s="43" t="s">
        <v>431</v>
      </c>
      <c r="E102" s="39" t="s">
        <v>6</v>
      </c>
      <c r="F102" s="39" t="s">
        <v>13</v>
      </c>
      <c r="G102" s="39"/>
      <c r="H102" s="41"/>
    </row>
    <row r="103" spans="2:8" x14ac:dyDescent="0.25">
      <c r="B103" s="141" t="s">
        <v>432</v>
      </c>
      <c r="C103" s="141" t="s">
        <v>562</v>
      </c>
      <c r="D103" s="44" t="s">
        <v>433</v>
      </c>
      <c r="E103" s="141" t="s">
        <v>6</v>
      </c>
      <c r="F103" s="141" t="s">
        <v>14</v>
      </c>
      <c r="G103" s="140"/>
      <c r="H103" s="140"/>
    </row>
    <row r="104" spans="2:8" x14ac:dyDescent="0.25">
      <c r="B104" s="39" t="s">
        <v>432</v>
      </c>
      <c r="C104" s="39" t="s">
        <v>563</v>
      </c>
      <c r="D104" s="43" t="s">
        <v>434</v>
      </c>
      <c r="E104" s="39" t="s">
        <v>6</v>
      </c>
      <c r="F104" s="39" t="s">
        <v>14</v>
      </c>
      <c r="G104" s="39"/>
      <c r="H104" s="41"/>
    </row>
    <row r="105" spans="2:8" x14ac:dyDescent="0.25">
      <c r="B105" s="141" t="s">
        <v>432</v>
      </c>
      <c r="C105" s="141" t="s">
        <v>564</v>
      </c>
      <c r="D105" s="44" t="s">
        <v>435</v>
      </c>
      <c r="E105" s="141" t="s">
        <v>6</v>
      </c>
      <c r="F105" s="141" t="s">
        <v>14</v>
      </c>
      <c r="G105" s="140"/>
      <c r="H105" s="140"/>
    </row>
    <row r="106" spans="2:8" x14ac:dyDescent="0.25">
      <c r="B106" s="39" t="s">
        <v>432</v>
      </c>
      <c r="C106" s="39" t="s">
        <v>565</v>
      </c>
      <c r="D106" s="43" t="s">
        <v>436</v>
      </c>
      <c r="E106" s="39" t="s">
        <v>6</v>
      </c>
      <c r="F106" s="39" t="s">
        <v>13</v>
      </c>
      <c r="G106" s="39"/>
      <c r="H106" s="41"/>
    </row>
    <row r="107" spans="2:8" x14ac:dyDescent="0.25">
      <c r="B107" s="141" t="s">
        <v>432</v>
      </c>
      <c r="C107" s="141" t="s">
        <v>566</v>
      </c>
      <c r="D107" s="44" t="s">
        <v>438</v>
      </c>
      <c r="E107" s="141" t="s">
        <v>6</v>
      </c>
      <c r="F107" s="141" t="s">
        <v>13</v>
      </c>
      <c r="G107" s="140"/>
      <c r="H107" s="140"/>
    </row>
    <row r="108" spans="2:8" x14ac:dyDescent="0.25">
      <c r="B108" s="39" t="s">
        <v>432</v>
      </c>
      <c r="C108" s="39" t="s">
        <v>567</v>
      </c>
      <c r="D108" s="43" t="s">
        <v>437</v>
      </c>
      <c r="E108" s="39" t="s">
        <v>6</v>
      </c>
      <c r="F108" s="39" t="s">
        <v>13</v>
      </c>
      <c r="G108" s="39"/>
      <c r="H108" s="41"/>
    </row>
    <row r="109" spans="2:8" x14ac:dyDescent="0.25">
      <c r="B109" s="141" t="s">
        <v>432</v>
      </c>
      <c r="C109" s="141" t="s">
        <v>568</v>
      </c>
      <c r="D109" s="44" t="s">
        <v>439</v>
      </c>
      <c r="E109" s="141" t="s">
        <v>6</v>
      </c>
      <c r="F109" s="141" t="s">
        <v>13</v>
      </c>
      <c r="G109" s="140"/>
      <c r="H109" s="140"/>
    </row>
    <row r="110" spans="2:8" x14ac:dyDescent="0.25">
      <c r="B110" s="39" t="s">
        <v>432</v>
      </c>
      <c r="C110" s="39" t="s">
        <v>569</v>
      </c>
      <c r="D110" s="43" t="s">
        <v>440</v>
      </c>
      <c r="E110" s="39" t="s">
        <v>6</v>
      </c>
      <c r="F110" s="39" t="s">
        <v>13</v>
      </c>
      <c r="G110" s="39"/>
      <c r="H110" s="41"/>
    </row>
    <row r="111" spans="2:8" x14ac:dyDescent="0.25">
      <c r="B111" s="141" t="s">
        <v>432</v>
      </c>
      <c r="C111" s="141" t="s">
        <v>570</v>
      </c>
      <c r="D111" s="44" t="s">
        <v>441</v>
      </c>
      <c r="E111" s="141" t="s">
        <v>6</v>
      </c>
      <c r="F111" s="141" t="s">
        <v>13</v>
      </c>
      <c r="G111" s="140"/>
      <c r="H111" s="140"/>
    </row>
    <row r="112" spans="2:8" ht="30" x14ac:dyDescent="0.25">
      <c r="B112" s="39" t="s">
        <v>442</v>
      </c>
      <c r="C112" s="39" t="s">
        <v>571</v>
      </c>
      <c r="D112" s="43" t="s">
        <v>596</v>
      </c>
      <c r="E112" s="39" t="s">
        <v>6</v>
      </c>
      <c r="F112" s="39" t="s">
        <v>13</v>
      </c>
      <c r="G112" s="39"/>
      <c r="H112" s="41"/>
    </row>
    <row r="113" spans="2:8" x14ac:dyDescent="0.25">
      <c r="B113" s="141" t="s">
        <v>442</v>
      </c>
      <c r="C113" s="141" t="s">
        <v>572</v>
      </c>
      <c r="D113" s="44" t="s">
        <v>597</v>
      </c>
      <c r="E113" s="141" t="s">
        <v>6</v>
      </c>
      <c r="F113" s="141" t="s">
        <v>13</v>
      </c>
      <c r="G113" s="140"/>
      <c r="H113" s="140" t="str">
        <f>CONCATENATE(BuscarCoincidencias(C113,SW_Req!$D$7:$D$1000,SW_Req!$C$7:$C$1000), ", ", BuscarCoincidencias(C113,HW_Req!$D$9:$D$1000,HW_Req!$C$7:$C$1000))</f>
        <v xml:space="preserve">, </v>
      </c>
    </row>
    <row r="114" spans="2:8" x14ac:dyDescent="0.25">
      <c r="B114" s="39" t="s">
        <v>442</v>
      </c>
      <c r="C114" s="39" t="s">
        <v>573</v>
      </c>
      <c r="D114" s="43" t="s">
        <v>443</v>
      </c>
      <c r="E114" s="39" t="s">
        <v>6</v>
      </c>
      <c r="F114" s="39" t="s">
        <v>13</v>
      </c>
      <c r="G114" s="39"/>
      <c r="H114" s="41" t="str">
        <f>CONCATENATE(BuscarCoincidencias(C114,SW_Req!$D$7:$D$1000,SW_Req!$C$7:$C$1000), ", ", BuscarCoincidencias(C114,HW_Req!$D$9:$D$1000,HW_Req!$C$7:$C$1000))</f>
        <v xml:space="preserve">, </v>
      </c>
    </row>
    <row r="115" spans="2:8" x14ac:dyDescent="0.25">
      <c r="B115" s="141" t="s">
        <v>442</v>
      </c>
      <c r="C115" s="141" t="s">
        <v>574</v>
      </c>
      <c r="D115" s="44" t="s">
        <v>444</v>
      </c>
      <c r="E115" s="141" t="s">
        <v>6</v>
      </c>
      <c r="F115" s="141" t="s">
        <v>13</v>
      </c>
      <c r="G115" s="140"/>
      <c r="H115" s="140" t="str">
        <f>CONCATENATE(BuscarCoincidencias(C115,SW_Req!$D$7:$D$1000,SW_Req!$C$7:$C$1000), ", ", BuscarCoincidencias(C115,HW_Req!$D$9:$D$1000,HW_Req!$C$7:$C$1000))</f>
        <v xml:space="preserve">, </v>
      </c>
    </row>
    <row r="116" spans="2:8" ht="30" x14ac:dyDescent="0.25">
      <c r="B116" s="39" t="s">
        <v>442</v>
      </c>
      <c r="C116" s="39" t="s">
        <v>575</v>
      </c>
      <c r="D116" s="43" t="s">
        <v>445</v>
      </c>
      <c r="E116" s="39" t="s">
        <v>6</v>
      </c>
      <c r="F116" s="39" t="s">
        <v>13</v>
      </c>
      <c r="G116" s="39"/>
      <c r="H116" s="41" t="str">
        <f>CONCATENATE(BuscarCoincidencias(C116,SW_Req!$D$7:$D$1000,SW_Req!$C$7:$C$1000), ", ", BuscarCoincidencias(C116,HW_Req!$D$9:$D$1000,HW_Req!$C$7:$C$1000))</f>
        <v xml:space="preserve">, </v>
      </c>
    </row>
    <row r="117" spans="2:8" x14ac:dyDescent="0.25">
      <c r="B117" s="141" t="s">
        <v>442</v>
      </c>
      <c r="C117" s="141" t="s">
        <v>576</v>
      </c>
      <c r="D117" s="44" t="s">
        <v>446</v>
      </c>
      <c r="E117" s="141" t="s">
        <v>6</v>
      </c>
      <c r="F117" s="141" t="s">
        <v>13</v>
      </c>
      <c r="G117" s="140"/>
      <c r="H117" s="140" t="str">
        <f>CONCATENATE(BuscarCoincidencias(C117,SW_Req!$D$7:$D$1000,SW_Req!$C$7:$C$1000), ", ", BuscarCoincidencias(C117,HW_Req!$D$9:$D$1000,HW_Req!$C$7:$C$1000))</f>
        <v xml:space="preserve">, </v>
      </c>
    </row>
    <row r="118" spans="2:8" ht="30" x14ac:dyDescent="0.25">
      <c r="B118" s="39" t="s">
        <v>448</v>
      </c>
      <c r="C118" s="39" t="s">
        <v>577</v>
      </c>
      <c r="D118" s="43" t="s">
        <v>449</v>
      </c>
      <c r="E118" s="39" t="s">
        <v>6</v>
      </c>
      <c r="F118" s="39" t="s">
        <v>13</v>
      </c>
      <c r="G118" s="39"/>
      <c r="H118" s="41" t="str">
        <f>CONCATENATE(BuscarCoincidencias(C118,SW_Req!$D$7:$D$1000,SW_Req!$C$7:$C$1000), ", ", BuscarCoincidencias(C118,HW_Req!$D$9:$D$1000,HW_Req!$C$7:$C$1000))</f>
        <v xml:space="preserve">, </v>
      </c>
    </row>
    <row r="119" spans="2:8" ht="30" x14ac:dyDescent="0.25">
      <c r="B119" s="141" t="s">
        <v>448</v>
      </c>
      <c r="C119" s="141" t="s">
        <v>578</v>
      </c>
      <c r="D119" s="44" t="s">
        <v>447</v>
      </c>
      <c r="E119" s="141" t="s">
        <v>6</v>
      </c>
      <c r="F119" s="141" t="s">
        <v>13</v>
      </c>
      <c r="G119" s="140"/>
      <c r="H119" s="140" t="str">
        <f>CONCATENATE(BuscarCoincidencias(C119,SW_Req!$D$7:$D$1000,SW_Req!$C$7:$C$1000), ", ", BuscarCoincidencias(C119,HW_Req!$D$9:$D$1000,HW_Req!$C$7:$C$1000))</f>
        <v xml:space="preserve">, </v>
      </c>
    </row>
    <row r="120" spans="2:8" ht="30" x14ac:dyDescent="0.25">
      <c r="B120" s="39" t="s">
        <v>448</v>
      </c>
      <c r="C120" s="39" t="s">
        <v>579</v>
      </c>
      <c r="D120" s="43" t="s">
        <v>450</v>
      </c>
      <c r="E120" s="39" t="s">
        <v>6</v>
      </c>
      <c r="F120" s="39" t="s">
        <v>13</v>
      </c>
      <c r="G120" s="39"/>
      <c r="H120" s="41" t="str">
        <f>CONCATENATE(BuscarCoincidencias(C120,SW_Req!$D$7:$D$1000,SW_Req!$C$7:$C$1000), ", ", BuscarCoincidencias(C120,HW_Req!$D$9:$D$1000,HW_Req!$C$7:$C$1000))</f>
        <v xml:space="preserve">, </v>
      </c>
    </row>
    <row r="121" spans="2:8" ht="30" x14ac:dyDescent="0.25">
      <c r="B121" s="141" t="s">
        <v>448</v>
      </c>
      <c r="C121" s="141" t="s">
        <v>580</v>
      </c>
      <c r="D121" s="44" t="s">
        <v>453</v>
      </c>
      <c r="E121" s="141" t="s">
        <v>6</v>
      </c>
      <c r="F121" s="141" t="s">
        <v>13</v>
      </c>
      <c r="G121" s="140"/>
      <c r="H121" s="140" t="str">
        <f>CONCATENATE(BuscarCoincidencias(C121,SW_Req!$D$7:$D$1000,SW_Req!$C$7:$C$1000), ", ", BuscarCoincidencias(C121,HW_Req!$D$9:$D$1000,HW_Req!$C$7:$C$1000))</f>
        <v xml:space="preserve">, </v>
      </c>
    </row>
    <row r="122" spans="2:8" ht="45" x14ac:dyDescent="0.25">
      <c r="B122" s="39" t="s">
        <v>448</v>
      </c>
      <c r="C122" s="39" t="s">
        <v>581</v>
      </c>
      <c r="D122" s="43" t="s">
        <v>598</v>
      </c>
      <c r="E122" s="39" t="s">
        <v>6</v>
      </c>
      <c r="F122" s="39" t="s">
        <v>13</v>
      </c>
      <c r="G122" s="39"/>
      <c r="H122" s="41" t="str">
        <f>CONCATENATE(BuscarCoincidencias(C122,SW_Req!$D$7:$D$1000,SW_Req!$C$7:$C$1000), ", ", BuscarCoincidencias(C122,HW_Req!$D$9:$D$1000,HW_Req!$C$7:$C$1000))</f>
        <v xml:space="preserve">, </v>
      </c>
    </row>
    <row r="123" spans="2:8" ht="30" x14ac:dyDescent="0.25">
      <c r="B123" s="141" t="s">
        <v>448</v>
      </c>
      <c r="C123" s="141" t="s">
        <v>582</v>
      </c>
      <c r="D123" s="44" t="s">
        <v>454</v>
      </c>
      <c r="E123" s="141" t="s">
        <v>6</v>
      </c>
      <c r="F123" s="141" t="s">
        <v>13</v>
      </c>
      <c r="G123" s="140"/>
      <c r="H123" s="140" t="str">
        <f>CONCATENATE(BuscarCoincidencias(C123,SW_Req!$D$7:$D$1000,SW_Req!$C$7:$C$1000), ", ", BuscarCoincidencias(C123,HW_Req!$D$9:$D$1000,HW_Req!$C$7:$C$1000))</f>
        <v xml:space="preserve">, </v>
      </c>
    </row>
    <row r="124" spans="2:8" ht="30" x14ac:dyDescent="0.25">
      <c r="B124" s="39" t="s">
        <v>448</v>
      </c>
      <c r="C124" s="39" t="s">
        <v>583</v>
      </c>
      <c r="D124" s="43" t="s">
        <v>455</v>
      </c>
      <c r="E124" s="39" t="s">
        <v>6</v>
      </c>
      <c r="F124" s="39" t="s">
        <v>13</v>
      </c>
      <c r="G124" s="39"/>
      <c r="H124" s="41" t="str">
        <f>CONCATENATE(BuscarCoincidencias(C124,SW_Req!$D$7:$D$1000,SW_Req!$C$7:$C$1000), ", ", BuscarCoincidencias(C124,HW_Req!$D$9:$D$1000,HW_Req!$C$7:$C$1000))</f>
        <v xml:space="preserve">, </v>
      </c>
    </row>
    <row r="125" spans="2:8" x14ac:dyDescent="0.25">
      <c r="B125" s="141" t="s">
        <v>448</v>
      </c>
      <c r="C125" s="141" t="s">
        <v>584</v>
      </c>
      <c r="D125" s="44" t="s">
        <v>456</v>
      </c>
      <c r="E125" s="141" t="s">
        <v>6</v>
      </c>
      <c r="F125" s="141" t="s">
        <v>14</v>
      </c>
      <c r="G125" s="140"/>
      <c r="H125" s="140" t="str">
        <f>CONCATENATE(BuscarCoincidencias(C125,SW_Req!$D$7:$D$1000,SW_Req!$C$7:$C$1000), ", ", BuscarCoincidencias(C125,HW_Req!$D$9:$D$1000,HW_Req!$C$7:$C$1000))</f>
        <v xml:space="preserve">, </v>
      </c>
    </row>
    <row r="126" spans="2:8" ht="30" x14ac:dyDescent="0.25">
      <c r="B126" s="39" t="s">
        <v>448</v>
      </c>
      <c r="C126" s="39" t="s">
        <v>585</v>
      </c>
      <c r="D126" s="43" t="s">
        <v>457</v>
      </c>
      <c r="E126" s="39" t="s">
        <v>6</v>
      </c>
      <c r="F126" s="39" t="s">
        <v>13</v>
      </c>
      <c r="G126" s="39"/>
      <c r="H126" s="41" t="str">
        <f>CONCATENATE(BuscarCoincidencias(C126,SW_Req!$D$7:$D$1000,SW_Req!$C$7:$C$1000), ", ", BuscarCoincidencias(C126,HW_Req!$D$9:$D$1000,HW_Req!$C$7:$C$1000))</f>
        <v xml:space="preserve">, </v>
      </c>
    </row>
    <row r="127" spans="2:8" x14ac:dyDescent="0.25">
      <c r="B127" s="141" t="s">
        <v>448</v>
      </c>
      <c r="C127" s="141" t="s">
        <v>586</v>
      </c>
      <c r="D127" s="44" t="s">
        <v>458</v>
      </c>
      <c r="E127" s="141" t="s">
        <v>6</v>
      </c>
      <c r="F127" s="141" t="s">
        <v>13</v>
      </c>
      <c r="G127" s="140"/>
      <c r="H127" s="140" t="str">
        <f>CONCATENATE(BuscarCoincidencias(C127,SW_Req!$D$7:$D$1000,SW_Req!$C$7:$C$1000), ", ", BuscarCoincidencias(C127,HW_Req!$D$9:$D$1000,HW_Req!$C$7:$C$1000))</f>
        <v xml:space="preserve">, </v>
      </c>
    </row>
    <row r="128" spans="2:8" x14ac:dyDescent="0.25">
      <c r="B128" s="39" t="s">
        <v>334</v>
      </c>
      <c r="C128" s="39" t="s">
        <v>587</v>
      </c>
      <c r="D128" s="43" t="s">
        <v>915</v>
      </c>
      <c r="E128" s="39" t="s">
        <v>6</v>
      </c>
      <c r="F128" s="39" t="s">
        <v>13</v>
      </c>
      <c r="G128" s="39"/>
      <c r="H128" s="41" t="str">
        <f>CONCATENATE(BuscarCoincidencias(C128,SW_Req!$D$7:$D$1000,SW_Req!$C$7:$C$1000), ", ", BuscarCoincidencias(C128,HW_Req!$D$9:$D$1000,HW_Req!$C$7:$C$1000))</f>
        <v xml:space="preserve">, </v>
      </c>
    </row>
    <row r="129" spans="1:10" ht="30" x14ac:dyDescent="0.25">
      <c r="B129" s="141" t="s">
        <v>448</v>
      </c>
      <c r="C129" s="141" t="s">
        <v>588</v>
      </c>
      <c r="D129" s="44" t="s">
        <v>459</v>
      </c>
      <c r="E129" s="141" t="s">
        <v>6</v>
      </c>
      <c r="F129" s="141" t="s">
        <v>13</v>
      </c>
      <c r="G129" s="140"/>
      <c r="H129" s="140" t="str">
        <f>CONCATENATE(BuscarCoincidencias(C129,SW_Req!$D$7:$D$1000,SW_Req!$C$7:$C$1000), ", ", BuscarCoincidencias(C129,HW_Req!$D$9:$D$1000,HW_Req!$C$7:$C$1000))</f>
        <v xml:space="preserve">, </v>
      </c>
    </row>
    <row r="130" spans="1:10" ht="30" x14ac:dyDescent="0.25">
      <c r="B130" s="39" t="s">
        <v>448</v>
      </c>
      <c r="C130" s="39" t="s">
        <v>589</v>
      </c>
      <c r="D130" s="43" t="s">
        <v>460</v>
      </c>
      <c r="E130" s="39" t="s">
        <v>6</v>
      </c>
      <c r="F130" s="39" t="s">
        <v>13</v>
      </c>
      <c r="G130" s="39"/>
      <c r="H130" s="41" t="str">
        <f>CONCATENATE(BuscarCoincidencias(C130,SW_Req!$D$7:$D$1000,SW_Req!$C$7:$C$1000), ", ", BuscarCoincidencias(C130,HW_Req!$D$9:$D$1000,HW_Req!$C$7:$C$1000))</f>
        <v xml:space="preserve">, </v>
      </c>
    </row>
    <row r="131" spans="1:10" ht="30" x14ac:dyDescent="0.25">
      <c r="B131" s="141" t="s">
        <v>448</v>
      </c>
      <c r="C131" s="141" t="s">
        <v>590</v>
      </c>
      <c r="D131" s="44" t="s">
        <v>461</v>
      </c>
      <c r="E131" s="141" t="s">
        <v>6</v>
      </c>
      <c r="F131" s="141" t="s">
        <v>13</v>
      </c>
      <c r="G131" s="140"/>
      <c r="H131" s="140" t="str">
        <f>CONCATENATE(BuscarCoincidencias(C131,SW_Req!$D$7:$D$1000,SW_Req!$C$7:$C$1000), ", ", BuscarCoincidencias(C131,HW_Req!$D$9:$D$1000,HW_Req!$C$7:$C$1000))</f>
        <v xml:space="preserve">, </v>
      </c>
    </row>
    <row r="132" spans="1:10" ht="30" x14ac:dyDescent="0.25">
      <c r="B132" s="39" t="s">
        <v>448</v>
      </c>
      <c r="C132" s="39" t="s">
        <v>591</v>
      </c>
      <c r="D132" s="43" t="s">
        <v>462</v>
      </c>
      <c r="E132" s="39" t="s">
        <v>6</v>
      </c>
      <c r="F132" s="39" t="s">
        <v>13</v>
      </c>
      <c r="G132" s="39"/>
      <c r="H132" s="41" t="str">
        <f>CONCATENATE(BuscarCoincidencias(C132,SW_Req!$D$7:$D$1000,SW_Req!$C$7:$C$1000), ", ", BuscarCoincidencias(C132,HW_Req!$D$9:$D$1000,HW_Req!$C$7:$C$1000))</f>
        <v xml:space="preserve">, </v>
      </c>
    </row>
    <row r="133" spans="1:10" ht="30" x14ac:dyDescent="0.25">
      <c r="B133" s="141" t="s">
        <v>334</v>
      </c>
      <c r="C133" s="141" t="s">
        <v>592</v>
      </c>
      <c r="D133" s="44" t="s">
        <v>463</v>
      </c>
      <c r="E133" s="141" t="s">
        <v>6</v>
      </c>
      <c r="F133" s="141" t="s">
        <v>13</v>
      </c>
      <c r="G133" s="140"/>
      <c r="H133" s="140" t="str">
        <f>CONCATENATE(BuscarCoincidencias(C133,SW_Req!$D$7:$D$1000,SW_Req!$C$7:$C$1000), ", ", BuscarCoincidencias(C133,HW_Req!$D$9:$D$1000,HW_Req!$C$7:$C$1000))</f>
        <v xml:space="preserve">, </v>
      </c>
    </row>
    <row r="134" spans="1:10" s="12" customFormat="1" ht="30" customHeight="1" thickBot="1" x14ac:dyDescent="0.3">
      <c r="A134" s="20"/>
      <c r="B134" s="53" t="s">
        <v>448</v>
      </c>
      <c r="C134" s="53" t="s">
        <v>945</v>
      </c>
      <c r="D134" s="55" t="s">
        <v>464</v>
      </c>
      <c r="E134" s="53" t="s">
        <v>6</v>
      </c>
      <c r="F134" s="53" t="s">
        <v>13</v>
      </c>
      <c r="G134" s="53"/>
      <c r="H134" s="208" t="str">
        <f>CONCATENATE(BuscarCoincidencias(C134,SW_Req!$D$7:$D$1000,SW_Req!$C$7:$C$1000), ", ", BuscarCoincidencias(C134,HW_Req!$D$9:$D$1000,HW_Req!$C$7:$C$1000))</f>
        <v xml:space="preserve">, </v>
      </c>
    </row>
    <row r="135" spans="1:10" x14ac:dyDescent="0.25">
      <c r="A135" s="20"/>
      <c r="B135" s="20"/>
      <c r="C135" s="20"/>
      <c r="D135" s="70"/>
      <c r="E135" s="20"/>
      <c r="F135" s="20"/>
      <c r="G135" s="67"/>
      <c r="H135" s="67"/>
      <c r="I135" s="69"/>
      <c r="J135" s="70"/>
    </row>
    <row r="136" spans="1:10" x14ac:dyDescent="0.25">
      <c r="A136" s="69"/>
      <c r="B136" s="20"/>
      <c r="C136" s="20"/>
      <c r="D136" s="70"/>
      <c r="E136" s="20"/>
      <c r="F136" s="20"/>
      <c r="G136" s="67"/>
      <c r="H136" s="67"/>
      <c r="I136" s="69"/>
      <c r="J136" s="69"/>
    </row>
    <row r="137" spans="1:10" x14ac:dyDescent="0.25">
      <c r="A137" s="69"/>
      <c r="B137" s="20"/>
      <c r="C137" s="20"/>
      <c r="D137" s="70"/>
      <c r="E137" s="20"/>
      <c r="F137" s="20"/>
      <c r="G137" s="67"/>
      <c r="H137" s="67"/>
      <c r="I137" s="69"/>
      <c r="J137" s="69"/>
    </row>
    <row r="138" spans="1:10" x14ac:dyDescent="0.25">
      <c r="A138" s="69"/>
      <c r="B138" s="20"/>
      <c r="C138" s="20"/>
      <c r="D138" s="70"/>
      <c r="E138" s="20"/>
      <c r="F138" s="20"/>
      <c r="G138" s="67"/>
      <c r="H138" s="67"/>
      <c r="I138" s="69"/>
      <c r="J138" s="69"/>
    </row>
    <row r="139" spans="1:10" x14ac:dyDescent="0.25">
      <c r="A139" s="69"/>
      <c r="B139" s="20"/>
      <c r="C139" s="20"/>
      <c r="D139" s="70"/>
      <c r="E139" s="20"/>
      <c r="F139" s="20"/>
      <c r="G139" s="67"/>
      <c r="H139" s="67"/>
      <c r="I139" s="69"/>
      <c r="J139" s="69"/>
    </row>
    <row r="140" spans="1:10" x14ac:dyDescent="0.25">
      <c r="A140" s="69"/>
      <c r="B140" s="20"/>
      <c r="C140" s="20"/>
      <c r="D140" s="70"/>
      <c r="E140" s="20"/>
      <c r="F140" s="20"/>
      <c r="G140" s="67"/>
      <c r="H140" s="67"/>
      <c r="I140" s="69"/>
      <c r="J140" s="69"/>
    </row>
    <row r="141" spans="1:10" x14ac:dyDescent="0.25">
      <c r="A141" s="69"/>
      <c r="B141" s="20"/>
      <c r="C141" s="20"/>
      <c r="D141" s="70"/>
      <c r="E141" s="20"/>
      <c r="F141" s="20"/>
      <c r="G141" s="67"/>
      <c r="H141" s="67"/>
      <c r="I141" s="69"/>
      <c r="J141" s="69"/>
    </row>
    <row r="142" spans="1:10" x14ac:dyDescent="0.25">
      <c r="A142" s="69"/>
      <c r="B142" s="20"/>
      <c r="C142" s="20"/>
      <c r="D142" s="70"/>
      <c r="E142" s="20"/>
      <c r="F142" s="20"/>
      <c r="G142" s="67"/>
      <c r="H142" s="67"/>
      <c r="I142" s="69"/>
      <c r="J142" s="69"/>
    </row>
    <row r="143" spans="1:10" x14ac:dyDescent="0.25">
      <c r="A143" s="69"/>
      <c r="B143" s="20"/>
      <c r="C143" s="20"/>
      <c r="D143" s="70"/>
      <c r="E143" s="20"/>
      <c r="F143" s="20"/>
      <c r="G143" s="67"/>
      <c r="H143" s="67"/>
      <c r="I143" s="69"/>
      <c r="J143" s="69"/>
    </row>
    <row r="144" spans="1:10" x14ac:dyDescent="0.25">
      <c r="A144" s="69"/>
      <c r="B144" s="20"/>
      <c r="C144" s="20"/>
      <c r="D144" s="70"/>
      <c r="E144" s="20"/>
      <c r="F144" s="20"/>
      <c r="G144" s="67"/>
      <c r="H144" s="67"/>
      <c r="I144" s="69"/>
      <c r="J144" s="69"/>
    </row>
    <row r="145" spans="1:10" x14ac:dyDescent="0.25">
      <c r="A145" s="69"/>
      <c r="B145" s="20"/>
      <c r="C145" s="20"/>
      <c r="D145" s="70"/>
      <c r="E145" s="20"/>
      <c r="F145" s="20"/>
      <c r="G145" s="67"/>
      <c r="H145" s="67"/>
      <c r="I145" s="69"/>
      <c r="J145" s="69"/>
    </row>
    <row r="146" spans="1:10" x14ac:dyDescent="0.25">
      <c r="A146" s="69"/>
      <c r="B146" s="20"/>
      <c r="C146" s="20"/>
      <c r="D146" s="70"/>
      <c r="E146" s="20"/>
      <c r="F146" s="20"/>
      <c r="G146" s="67"/>
      <c r="H146" s="67"/>
      <c r="I146" s="69"/>
      <c r="J146" s="69"/>
    </row>
    <row r="147" spans="1:10" x14ac:dyDescent="0.25">
      <c r="A147" s="69"/>
      <c r="B147" s="20"/>
      <c r="C147" s="20"/>
      <c r="D147" s="70"/>
      <c r="E147" s="20"/>
      <c r="F147" s="20"/>
      <c r="G147" s="67"/>
      <c r="H147" s="67"/>
      <c r="I147" s="69"/>
      <c r="J147" s="69"/>
    </row>
    <row r="148" spans="1:10" x14ac:dyDescent="0.25">
      <c r="A148" s="69"/>
      <c r="B148" s="20"/>
      <c r="C148" s="20"/>
      <c r="D148" s="70"/>
      <c r="E148" s="20"/>
      <c r="F148" s="20"/>
      <c r="G148" s="67"/>
      <c r="H148" s="67"/>
      <c r="I148" s="69"/>
      <c r="J148" s="69"/>
    </row>
    <row r="149" spans="1:10" x14ac:dyDescent="0.25">
      <c r="A149" s="69"/>
      <c r="B149" s="20"/>
      <c r="C149" s="20"/>
      <c r="D149" s="70"/>
      <c r="E149" s="20"/>
      <c r="F149" s="20"/>
      <c r="G149" s="67"/>
      <c r="H149" s="67"/>
      <c r="I149" s="69"/>
      <c r="J149" s="69"/>
    </row>
    <row r="150" spans="1:10" x14ac:dyDescent="0.25">
      <c r="A150" s="69"/>
      <c r="B150" s="20"/>
      <c r="C150" s="20"/>
      <c r="D150" s="70"/>
      <c r="E150" s="20"/>
      <c r="F150" s="20"/>
      <c r="G150" s="67"/>
      <c r="H150" s="67"/>
      <c r="I150" s="69"/>
      <c r="J150" s="69"/>
    </row>
    <row r="151" spans="1:10" x14ac:dyDescent="0.25">
      <c r="A151" s="69"/>
      <c r="B151" s="20"/>
      <c r="C151" s="20"/>
      <c r="D151" s="70"/>
      <c r="E151" s="20"/>
      <c r="F151" s="20"/>
      <c r="G151" s="67"/>
      <c r="H151" s="67"/>
      <c r="I151" s="69"/>
      <c r="J151" s="69"/>
    </row>
    <row r="152" spans="1:10" x14ac:dyDescent="0.25">
      <c r="A152" s="69"/>
      <c r="B152" s="20"/>
      <c r="C152" s="20"/>
      <c r="D152" s="70"/>
      <c r="E152" s="20"/>
      <c r="F152" s="20"/>
      <c r="G152" s="67"/>
      <c r="H152" s="67"/>
      <c r="I152" s="69"/>
      <c r="J152" s="69"/>
    </row>
    <row r="153" spans="1:10" x14ac:dyDescent="0.25">
      <c r="A153" s="69"/>
      <c r="B153" s="20"/>
      <c r="C153" s="20"/>
      <c r="D153" s="70"/>
      <c r="E153" s="20"/>
      <c r="F153" s="20"/>
      <c r="G153" s="67"/>
      <c r="H153" s="67"/>
      <c r="I153" s="69"/>
      <c r="J153" s="69"/>
    </row>
    <row r="154" spans="1:10" x14ac:dyDescent="0.25">
      <c r="A154" s="69"/>
      <c r="B154" s="20"/>
      <c r="C154" s="20"/>
      <c r="D154" s="70"/>
      <c r="E154" s="20"/>
      <c r="F154" s="20"/>
      <c r="G154" s="67"/>
      <c r="H154" s="67"/>
      <c r="I154" s="69"/>
      <c r="J154" s="69"/>
    </row>
    <row r="155" spans="1:10" x14ac:dyDescent="0.25">
      <c r="A155" s="69"/>
      <c r="B155" s="20"/>
      <c r="C155" s="20"/>
      <c r="D155" s="70"/>
      <c r="E155" s="20"/>
      <c r="F155" s="20"/>
      <c r="G155" s="67"/>
      <c r="H155" s="67"/>
      <c r="I155" s="69"/>
      <c r="J155" s="69"/>
    </row>
    <row r="156" spans="1:10" x14ac:dyDescent="0.25">
      <c r="A156" s="69"/>
      <c r="B156" s="20"/>
      <c r="C156" s="20"/>
      <c r="D156" s="70"/>
      <c r="E156" s="20"/>
      <c r="F156" s="20"/>
      <c r="G156" s="67"/>
      <c r="H156" s="67"/>
      <c r="I156" s="69"/>
      <c r="J156" s="69"/>
    </row>
    <row r="157" spans="1:10" x14ac:dyDescent="0.25">
      <c r="A157" s="69"/>
      <c r="B157" s="20"/>
      <c r="C157" s="20"/>
      <c r="D157" s="70"/>
      <c r="E157" s="20"/>
      <c r="F157" s="20"/>
      <c r="G157" s="67"/>
      <c r="H157" s="67"/>
      <c r="I157" s="69"/>
      <c r="J157" s="69"/>
    </row>
    <row r="158" spans="1:10" x14ac:dyDescent="0.25">
      <c r="A158" s="69"/>
      <c r="B158" s="20"/>
      <c r="C158" s="20"/>
      <c r="D158" s="70"/>
      <c r="E158" s="20"/>
      <c r="F158" s="20"/>
      <c r="G158" s="67"/>
      <c r="H158" s="67"/>
      <c r="I158" s="69"/>
      <c r="J158" s="69"/>
    </row>
    <row r="159" spans="1:10" x14ac:dyDescent="0.25">
      <c r="A159" s="69"/>
      <c r="B159" s="20"/>
      <c r="C159" s="20"/>
      <c r="D159" s="70"/>
      <c r="E159" s="20"/>
      <c r="F159" s="20"/>
      <c r="G159" s="67"/>
      <c r="H159" s="67"/>
      <c r="I159" s="69"/>
      <c r="J159" s="69"/>
    </row>
    <row r="160" spans="1:10" x14ac:dyDescent="0.25">
      <c r="A160" s="69"/>
      <c r="B160" s="20"/>
      <c r="C160" s="20"/>
      <c r="D160" s="70"/>
      <c r="E160" s="20"/>
      <c r="F160" s="20"/>
      <c r="G160" s="67"/>
      <c r="H160" s="67"/>
      <c r="I160" s="69"/>
      <c r="J160" s="69"/>
    </row>
    <row r="161" spans="1:10" x14ac:dyDescent="0.25">
      <c r="A161" s="69"/>
      <c r="B161" s="20"/>
      <c r="C161" s="20"/>
      <c r="D161" s="70"/>
      <c r="E161" s="20"/>
      <c r="F161" s="20"/>
      <c r="G161" s="67"/>
      <c r="H161" s="67"/>
      <c r="I161" s="69"/>
      <c r="J161" s="69"/>
    </row>
    <row r="162" spans="1:10" x14ac:dyDescent="0.25">
      <c r="A162" s="69"/>
      <c r="B162" s="20"/>
      <c r="C162" s="20"/>
      <c r="D162" s="70"/>
      <c r="E162" s="20"/>
      <c r="F162" s="20"/>
      <c r="G162" s="67"/>
      <c r="H162" s="67"/>
      <c r="I162" s="69"/>
      <c r="J162" s="69"/>
    </row>
    <row r="163" spans="1:10" x14ac:dyDescent="0.25">
      <c r="A163" s="69"/>
      <c r="B163" s="20"/>
      <c r="C163" s="20"/>
      <c r="D163" s="70"/>
      <c r="E163" s="20"/>
      <c r="F163" s="20"/>
      <c r="G163" s="67"/>
      <c r="H163" s="67"/>
      <c r="I163" s="69"/>
      <c r="J163" s="69"/>
    </row>
    <row r="164" spans="1:10" x14ac:dyDescent="0.25">
      <c r="A164" s="69"/>
      <c r="B164" s="20"/>
      <c r="C164" s="20"/>
      <c r="D164" s="70"/>
      <c r="E164" s="20"/>
      <c r="F164" s="20"/>
      <c r="G164" s="67"/>
      <c r="H164" s="67"/>
      <c r="I164" s="69"/>
      <c r="J164" s="69"/>
    </row>
    <row r="165" spans="1:10" x14ac:dyDescent="0.25">
      <c r="A165" s="69"/>
      <c r="B165" s="20"/>
      <c r="C165" s="20"/>
      <c r="D165" s="70"/>
      <c r="E165" s="20"/>
      <c r="F165" s="20"/>
      <c r="G165" s="67"/>
      <c r="H165" s="67"/>
      <c r="I165" s="69"/>
      <c r="J165" s="69"/>
    </row>
    <row r="166" spans="1:10" x14ac:dyDescent="0.25">
      <c r="A166" s="69"/>
      <c r="B166" s="20"/>
      <c r="C166" s="20"/>
      <c r="D166" s="70"/>
      <c r="E166" s="20"/>
      <c r="F166" s="20"/>
      <c r="G166" s="67"/>
      <c r="H166" s="67"/>
      <c r="I166" s="69"/>
      <c r="J166" s="69"/>
    </row>
    <row r="167" spans="1:10" x14ac:dyDescent="0.25">
      <c r="A167" s="69"/>
      <c r="B167" s="20"/>
      <c r="C167" s="20"/>
      <c r="D167" s="70"/>
      <c r="E167" s="20"/>
      <c r="F167" s="20"/>
      <c r="G167" s="67"/>
      <c r="H167" s="67"/>
      <c r="I167" s="69"/>
      <c r="J167" s="69"/>
    </row>
    <row r="168" spans="1:10" x14ac:dyDescent="0.25">
      <c r="A168" s="69"/>
      <c r="B168" s="20"/>
      <c r="C168" s="20"/>
      <c r="D168" s="70"/>
      <c r="E168" s="20"/>
      <c r="F168" s="20"/>
      <c r="G168" s="67"/>
      <c r="H168" s="67"/>
      <c r="I168" s="69"/>
      <c r="J168" s="69"/>
    </row>
    <row r="169" spans="1:10" x14ac:dyDescent="0.25">
      <c r="A169" s="69"/>
      <c r="B169" s="20"/>
      <c r="C169" s="20"/>
      <c r="D169" s="70"/>
      <c r="E169" s="20"/>
      <c r="F169" s="20"/>
      <c r="G169" s="67"/>
      <c r="H169" s="67"/>
      <c r="I169" s="69"/>
      <c r="J169" s="69"/>
    </row>
    <row r="170" spans="1:10" x14ac:dyDescent="0.25">
      <c r="A170" s="69"/>
      <c r="B170" s="20"/>
      <c r="C170" s="20"/>
      <c r="D170" s="70"/>
      <c r="E170" s="20"/>
      <c r="F170" s="20"/>
      <c r="G170" s="67"/>
      <c r="H170" s="67"/>
      <c r="I170" s="69"/>
      <c r="J170" s="69"/>
    </row>
    <row r="171" spans="1:10" x14ac:dyDescent="0.25">
      <c r="A171" s="69"/>
      <c r="B171" s="20"/>
      <c r="C171" s="20"/>
      <c r="D171" s="70"/>
      <c r="E171" s="20"/>
      <c r="F171" s="20"/>
      <c r="G171" s="67"/>
      <c r="H171" s="67"/>
      <c r="I171" s="69"/>
      <c r="J171" s="69"/>
    </row>
    <row r="172" spans="1:10" x14ac:dyDescent="0.25">
      <c r="A172" s="69"/>
      <c r="B172" s="20"/>
      <c r="C172" s="20"/>
      <c r="D172" s="70"/>
      <c r="E172" s="20"/>
      <c r="F172" s="20"/>
      <c r="G172" s="67"/>
      <c r="H172" s="67"/>
      <c r="I172" s="69"/>
      <c r="J172" s="69"/>
    </row>
    <row r="173" spans="1:10" x14ac:dyDescent="0.25">
      <c r="A173" s="69"/>
      <c r="B173" s="20"/>
      <c r="C173" s="20"/>
      <c r="D173" s="70"/>
      <c r="E173" s="20"/>
      <c r="F173" s="20"/>
      <c r="G173" s="67"/>
      <c r="H173" s="67"/>
      <c r="I173" s="69"/>
      <c r="J173" s="69"/>
    </row>
    <row r="174" spans="1:10" x14ac:dyDescent="0.25">
      <c r="A174" s="69"/>
      <c r="B174" s="20"/>
      <c r="C174" s="20"/>
      <c r="D174" s="70"/>
      <c r="E174" s="20"/>
      <c r="F174" s="20"/>
      <c r="G174" s="67"/>
      <c r="H174" s="67"/>
      <c r="I174" s="69"/>
      <c r="J174" s="69"/>
    </row>
    <row r="175" spans="1:10" x14ac:dyDescent="0.25">
      <c r="A175" s="69"/>
      <c r="B175" s="20"/>
      <c r="C175" s="20"/>
      <c r="D175" s="70"/>
      <c r="E175" s="20"/>
      <c r="F175" s="20"/>
      <c r="G175" s="67"/>
      <c r="H175" s="67"/>
      <c r="I175" s="69"/>
      <c r="J175" s="69"/>
    </row>
    <row r="176" spans="1:10" x14ac:dyDescent="0.25">
      <c r="A176" s="69"/>
      <c r="B176" s="20"/>
      <c r="C176" s="20"/>
      <c r="D176" s="70"/>
      <c r="E176" s="20"/>
      <c r="F176" s="20"/>
      <c r="G176" s="67"/>
      <c r="H176" s="67"/>
      <c r="I176" s="69"/>
      <c r="J176" s="69"/>
    </row>
    <row r="177" spans="1:10" x14ac:dyDescent="0.25">
      <c r="A177" s="69"/>
      <c r="B177" s="20"/>
      <c r="C177" s="20"/>
      <c r="D177" s="70"/>
      <c r="E177" s="20"/>
      <c r="F177" s="20"/>
      <c r="G177" s="67"/>
      <c r="H177" s="67"/>
      <c r="I177" s="69"/>
      <c r="J177" s="69"/>
    </row>
    <row r="178" spans="1:10" x14ac:dyDescent="0.25">
      <c r="A178" s="69"/>
      <c r="B178" s="20"/>
      <c r="C178" s="20"/>
      <c r="D178" s="70"/>
      <c r="E178" s="20"/>
      <c r="F178" s="20"/>
      <c r="G178" s="67"/>
      <c r="H178" s="67"/>
      <c r="I178" s="69"/>
      <c r="J178" s="69"/>
    </row>
    <row r="179" spans="1:10" x14ac:dyDescent="0.25">
      <c r="A179" s="69"/>
      <c r="B179" s="20"/>
      <c r="C179" s="20"/>
      <c r="D179" s="70"/>
      <c r="E179" s="20"/>
      <c r="F179" s="20"/>
      <c r="G179" s="67"/>
      <c r="H179" s="67"/>
      <c r="I179" s="69"/>
      <c r="J179" s="69"/>
    </row>
    <row r="180" spans="1:10" x14ac:dyDescent="0.25">
      <c r="A180" s="69"/>
      <c r="B180" s="20"/>
      <c r="C180" s="20"/>
      <c r="D180" s="70"/>
      <c r="E180" s="20"/>
      <c r="F180" s="20"/>
      <c r="G180" s="67"/>
      <c r="H180" s="67"/>
      <c r="I180" s="69"/>
      <c r="J180" s="69"/>
    </row>
    <row r="181" spans="1:10" x14ac:dyDescent="0.25">
      <c r="A181" s="69"/>
      <c r="B181" s="20"/>
      <c r="C181" s="20"/>
      <c r="D181" s="70"/>
      <c r="E181" s="20"/>
      <c r="F181" s="20"/>
      <c r="G181" s="67"/>
      <c r="H181" s="67"/>
      <c r="I181" s="69"/>
      <c r="J181" s="69"/>
    </row>
    <row r="182" spans="1:10" x14ac:dyDescent="0.25">
      <c r="A182" s="69"/>
      <c r="B182" s="20"/>
      <c r="C182" s="20"/>
      <c r="D182" s="70"/>
      <c r="E182" s="20"/>
      <c r="F182" s="20"/>
      <c r="G182" s="67"/>
      <c r="H182" s="67"/>
      <c r="I182" s="69"/>
      <c r="J182" s="69"/>
    </row>
    <row r="183" spans="1:10" x14ac:dyDescent="0.25">
      <c r="A183" s="69"/>
      <c r="B183" s="20"/>
      <c r="C183" s="20"/>
      <c r="D183" s="70"/>
      <c r="E183" s="20"/>
      <c r="F183" s="20"/>
      <c r="G183" s="67"/>
      <c r="H183" s="67"/>
      <c r="I183" s="69"/>
      <c r="J183" s="69"/>
    </row>
    <row r="184" spans="1:10" x14ac:dyDescent="0.25">
      <c r="A184" s="69"/>
      <c r="B184" s="20"/>
      <c r="C184" s="20"/>
      <c r="D184" s="70"/>
      <c r="E184" s="20"/>
      <c r="F184" s="20"/>
      <c r="G184" s="67"/>
      <c r="H184" s="67"/>
      <c r="I184" s="69"/>
      <c r="J184" s="69"/>
    </row>
    <row r="185" spans="1:10" x14ac:dyDescent="0.25">
      <c r="A185" s="69"/>
      <c r="B185" s="20"/>
      <c r="C185" s="20"/>
      <c r="D185" s="70"/>
      <c r="E185" s="20"/>
      <c r="F185" s="20"/>
      <c r="G185" s="67"/>
      <c r="H185" s="67"/>
      <c r="I185" s="69"/>
      <c r="J185" s="69"/>
    </row>
    <row r="186" spans="1:10" x14ac:dyDescent="0.25">
      <c r="A186" s="69"/>
      <c r="B186" s="20"/>
      <c r="C186" s="20"/>
      <c r="D186" s="70"/>
      <c r="E186" s="20"/>
      <c r="F186" s="20"/>
      <c r="G186" s="67"/>
      <c r="H186" s="67"/>
      <c r="I186" s="69"/>
      <c r="J186" s="69"/>
    </row>
    <row r="187" spans="1:10" x14ac:dyDescent="0.25">
      <c r="A187" s="69"/>
      <c r="B187" s="20"/>
      <c r="C187" s="20"/>
      <c r="D187" s="70"/>
      <c r="E187" s="20"/>
      <c r="F187" s="20"/>
      <c r="G187" s="67"/>
      <c r="H187" s="67"/>
      <c r="I187" s="69"/>
      <c r="J187" s="69"/>
    </row>
    <row r="188" spans="1:10" x14ac:dyDescent="0.25">
      <c r="A188" s="69"/>
      <c r="B188" s="20"/>
      <c r="C188" s="20"/>
      <c r="D188" s="70"/>
      <c r="E188" s="20"/>
      <c r="F188" s="20"/>
      <c r="G188" s="67"/>
      <c r="H188" s="67"/>
      <c r="I188" s="69"/>
      <c r="J188" s="69"/>
    </row>
    <row r="189" spans="1:10" x14ac:dyDescent="0.25">
      <c r="A189" s="69"/>
      <c r="B189" s="20"/>
      <c r="C189" s="20"/>
      <c r="D189" s="70"/>
      <c r="E189" s="20"/>
      <c r="F189" s="20"/>
      <c r="G189" s="67"/>
      <c r="H189" s="67"/>
      <c r="I189" s="69"/>
      <c r="J189" s="69"/>
    </row>
    <row r="190" spans="1:10" x14ac:dyDescent="0.25">
      <c r="A190" s="69"/>
      <c r="B190" s="20"/>
      <c r="C190" s="20"/>
      <c r="D190" s="70"/>
      <c r="E190" s="20"/>
      <c r="F190" s="20"/>
      <c r="G190" s="67"/>
      <c r="H190" s="67"/>
      <c r="I190" s="69"/>
      <c r="J190" s="69"/>
    </row>
    <row r="191" spans="1:10" x14ac:dyDescent="0.25">
      <c r="A191" s="69"/>
      <c r="B191" s="20"/>
      <c r="C191" s="20"/>
      <c r="D191" s="70"/>
      <c r="E191" s="20"/>
      <c r="F191" s="20"/>
      <c r="G191" s="67"/>
      <c r="H191" s="67"/>
      <c r="I191" s="69"/>
      <c r="J191" s="69"/>
    </row>
    <row r="192" spans="1:10" x14ac:dyDescent="0.25">
      <c r="A192" s="69"/>
      <c r="B192" s="20"/>
      <c r="C192" s="20"/>
      <c r="D192" s="70"/>
      <c r="E192" s="20"/>
      <c r="F192" s="20"/>
      <c r="G192" s="67"/>
      <c r="H192" s="67"/>
      <c r="I192" s="69"/>
      <c r="J192" s="69"/>
    </row>
    <row r="193" spans="1:10" x14ac:dyDescent="0.25">
      <c r="A193" s="69"/>
      <c r="B193" s="20"/>
      <c r="C193" s="20"/>
      <c r="D193" s="70"/>
      <c r="E193" s="20"/>
      <c r="F193" s="20"/>
      <c r="G193" s="67"/>
      <c r="H193" s="67"/>
      <c r="I193" s="69"/>
      <c r="J193" s="69"/>
    </row>
    <row r="194" spans="1:10" x14ac:dyDescent="0.25">
      <c r="A194" s="69"/>
      <c r="B194" s="20"/>
      <c r="C194" s="20"/>
      <c r="D194" s="70"/>
      <c r="E194" s="20"/>
      <c r="F194" s="20"/>
      <c r="G194" s="67"/>
      <c r="H194" s="67"/>
      <c r="I194" s="69"/>
      <c r="J194" s="69"/>
    </row>
    <row r="195" spans="1:10" x14ac:dyDescent="0.25">
      <c r="A195" s="69"/>
      <c r="B195" s="20"/>
      <c r="C195" s="20"/>
      <c r="D195" s="70"/>
      <c r="E195" s="20"/>
      <c r="F195" s="20"/>
      <c r="G195" s="67"/>
      <c r="H195" s="67"/>
      <c r="I195" s="69"/>
      <c r="J195" s="69"/>
    </row>
    <row r="196" spans="1:10" x14ac:dyDescent="0.25">
      <c r="A196" s="69"/>
      <c r="B196" s="20"/>
      <c r="C196" s="20"/>
      <c r="D196" s="70"/>
      <c r="E196" s="20"/>
      <c r="F196" s="20"/>
      <c r="G196" s="67"/>
      <c r="H196" s="67"/>
      <c r="I196" s="69"/>
      <c r="J196" s="69"/>
    </row>
    <row r="197" spans="1:10" x14ac:dyDescent="0.25">
      <c r="A197" s="69"/>
      <c r="B197" s="20"/>
      <c r="C197" s="20"/>
      <c r="D197" s="70"/>
      <c r="E197" s="20"/>
      <c r="F197" s="20"/>
      <c r="G197" s="67"/>
      <c r="H197" s="67"/>
      <c r="I197" s="69"/>
      <c r="J197" s="69"/>
    </row>
    <row r="198" spans="1:10" x14ac:dyDescent="0.25">
      <c r="A198" s="69"/>
      <c r="B198" s="20"/>
      <c r="C198" s="20"/>
      <c r="D198" s="70"/>
      <c r="E198" s="20"/>
      <c r="F198" s="20"/>
      <c r="G198" s="67"/>
      <c r="H198" s="67"/>
      <c r="I198" s="69"/>
      <c r="J198" s="69"/>
    </row>
    <row r="199" spans="1:10" x14ac:dyDescent="0.25">
      <c r="A199" s="69"/>
      <c r="B199" s="20"/>
      <c r="C199" s="20"/>
      <c r="D199" s="70"/>
      <c r="E199" s="20"/>
      <c r="F199" s="20"/>
      <c r="G199" s="67"/>
      <c r="H199" s="67"/>
      <c r="I199" s="69"/>
      <c r="J199" s="69"/>
    </row>
    <row r="200" spans="1:10" x14ac:dyDescent="0.25">
      <c r="A200" s="69"/>
      <c r="B200" s="20"/>
      <c r="C200" s="20"/>
      <c r="D200" s="70"/>
      <c r="E200" s="20"/>
      <c r="F200" s="20"/>
      <c r="G200" s="67"/>
      <c r="H200" s="67"/>
      <c r="I200" s="69"/>
      <c r="J200" s="69"/>
    </row>
    <row r="201" spans="1:10" x14ac:dyDescent="0.25">
      <c r="A201" s="69"/>
      <c r="B201" s="20"/>
      <c r="C201" s="20"/>
      <c r="D201" s="70"/>
      <c r="E201" s="20"/>
      <c r="F201" s="20"/>
      <c r="G201" s="67"/>
      <c r="H201" s="67"/>
      <c r="I201" s="69"/>
      <c r="J201" s="69"/>
    </row>
    <row r="202" spans="1:10" x14ac:dyDescent="0.25">
      <c r="A202" s="69"/>
      <c r="B202" s="20"/>
      <c r="C202" s="20"/>
      <c r="D202" s="70"/>
      <c r="E202" s="20"/>
      <c r="F202" s="20"/>
      <c r="G202" s="67"/>
      <c r="H202" s="67"/>
      <c r="I202" s="69"/>
      <c r="J202" s="69"/>
    </row>
    <row r="203" spans="1:10" x14ac:dyDescent="0.25">
      <c r="A203" s="69"/>
      <c r="B203" s="20"/>
      <c r="C203" s="20"/>
      <c r="D203" s="70"/>
      <c r="E203" s="20"/>
      <c r="F203" s="20"/>
      <c r="G203" s="67"/>
      <c r="H203" s="67"/>
      <c r="I203" s="69"/>
      <c r="J203" s="69"/>
    </row>
    <row r="204" spans="1:10" x14ac:dyDescent="0.25">
      <c r="A204" s="69"/>
      <c r="B204" s="20"/>
      <c r="C204" s="20"/>
      <c r="D204" s="70"/>
      <c r="E204" s="20"/>
      <c r="F204" s="20"/>
      <c r="G204" s="67"/>
      <c r="H204" s="67"/>
      <c r="I204" s="69"/>
      <c r="J204" s="69"/>
    </row>
    <row r="205" spans="1:10" x14ac:dyDescent="0.25">
      <c r="A205" s="69"/>
      <c r="B205" s="20"/>
      <c r="C205" s="20"/>
      <c r="D205" s="70"/>
      <c r="E205" s="20"/>
      <c r="F205" s="20"/>
      <c r="G205" s="67"/>
      <c r="H205" s="67"/>
      <c r="I205" s="69"/>
      <c r="J205" s="69"/>
    </row>
    <row r="206" spans="1:10" x14ac:dyDescent="0.25">
      <c r="A206" s="69"/>
      <c r="B206" s="20"/>
      <c r="C206" s="20"/>
      <c r="D206" s="70"/>
      <c r="E206" s="20"/>
      <c r="F206" s="20"/>
      <c r="G206" s="67"/>
      <c r="H206" s="67"/>
      <c r="I206" s="69"/>
      <c r="J206" s="69"/>
    </row>
    <row r="207" spans="1:10" x14ac:dyDescent="0.25">
      <c r="A207" s="69"/>
      <c r="B207" s="20"/>
      <c r="C207" s="20"/>
      <c r="D207" s="70"/>
      <c r="E207" s="20"/>
      <c r="F207" s="20"/>
      <c r="G207" s="67"/>
      <c r="H207" s="67"/>
      <c r="I207" s="69"/>
      <c r="J207" s="69"/>
    </row>
    <row r="208" spans="1:10" x14ac:dyDescent="0.25">
      <c r="A208" s="69"/>
      <c r="B208" s="20"/>
      <c r="C208" s="20"/>
      <c r="D208" s="70"/>
      <c r="E208" s="20"/>
      <c r="F208" s="20"/>
      <c r="G208" s="67"/>
      <c r="H208" s="67"/>
      <c r="I208" s="69"/>
      <c r="J208" s="69"/>
    </row>
    <row r="209" spans="1:10" x14ac:dyDescent="0.25">
      <c r="A209" s="69"/>
      <c r="B209" s="20"/>
      <c r="C209" s="20"/>
      <c r="D209" s="70"/>
      <c r="E209" s="20"/>
      <c r="F209" s="20"/>
      <c r="G209" s="67"/>
      <c r="H209" s="67"/>
      <c r="I209" s="69"/>
      <c r="J209" s="69"/>
    </row>
    <row r="210" spans="1:10" x14ac:dyDescent="0.25">
      <c r="A210" s="69"/>
      <c r="B210" s="20"/>
      <c r="C210" s="20"/>
      <c r="D210" s="70"/>
      <c r="E210" s="20"/>
      <c r="F210" s="20"/>
      <c r="G210" s="67"/>
      <c r="H210" s="67"/>
      <c r="I210" s="69"/>
      <c r="J210" s="69"/>
    </row>
    <row r="211" spans="1:10" x14ac:dyDescent="0.25">
      <c r="A211" s="69"/>
      <c r="B211" s="20"/>
      <c r="C211" s="20"/>
      <c r="D211" s="70"/>
      <c r="E211" s="20"/>
      <c r="F211" s="20"/>
      <c r="G211" s="67"/>
      <c r="H211" s="67"/>
      <c r="I211" s="69"/>
      <c r="J211" s="69"/>
    </row>
    <row r="212" spans="1:10" x14ac:dyDescent="0.25">
      <c r="A212" s="69"/>
      <c r="B212" s="20"/>
      <c r="C212" s="20"/>
      <c r="D212" s="70"/>
      <c r="E212" s="20"/>
      <c r="F212" s="20"/>
      <c r="G212" s="67"/>
      <c r="H212" s="67"/>
      <c r="I212" s="69"/>
      <c r="J212" s="69"/>
    </row>
    <row r="213" spans="1:10" x14ac:dyDescent="0.25">
      <c r="A213" s="69"/>
      <c r="B213" s="20"/>
      <c r="C213" s="20"/>
      <c r="D213" s="70"/>
      <c r="E213" s="20"/>
      <c r="F213" s="20"/>
      <c r="G213" s="67"/>
      <c r="H213" s="67"/>
      <c r="I213" s="69"/>
      <c r="J213" s="69"/>
    </row>
    <row r="214" spans="1:10" x14ac:dyDescent="0.25">
      <c r="A214" s="69"/>
      <c r="B214" s="20"/>
      <c r="C214" s="20"/>
      <c r="D214" s="70"/>
      <c r="E214" s="20"/>
      <c r="F214" s="20"/>
      <c r="G214" s="67"/>
      <c r="H214" s="67"/>
      <c r="I214" s="69"/>
      <c r="J214" s="69"/>
    </row>
    <row r="215" spans="1:10" x14ac:dyDescent="0.25">
      <c r="A215" s="69"/>
      <c r="B215" s="20"/>
      <c r="C215" s="20"/>
      <c r="D215" s="70"/>
      <c r="E215" s="20"/>
      <c r="F215" s="20"/>
      <c r="G215" s="67"/>
      <c r="H215" s="67"/>
      <c r="I215" s="69"/>
      <c r="J215" s="69"/>
    </row>
    <row r="216" spans="1:10" x14ac:dyDescent="0.25">
      <c r="A216" s="69"/>
      <c r="B216" s="20"/>
      <c r="C216" s="20"/>
      <c r="D216" s="70"/>
      <c r="E216" s="20"/>
      <c r="F216" s="20"/>
      <c r="G216" s="67"/>
      <c r="H216" s="67"/>
      <c r="I216" s="69"/>
      <c r="J216" s="69"/>
    </row>
    <row r="217" spans="1:10" x14ac:dyDescent="0.25">
      <c r="A217" s="69"/>
      <c r="B217" s="20"/>
      <c r="C217" s="20"/>
      <c r="D217" s="70"/>
      <c r="E217" s="20"/>
      <c r="F217" s="20"/>
      <c r="G217" s="67"/>
      <c r="H217" s="67"/>
      <c r="I217" s="69"/>
      <c r="J217" s="69"/>
    </row>
    <row r="218" spans="1:10" x14ac:dyDescent="0.25">
      <c r="A218" s="69"/>
      <c r="B218" s="20"/>
      <c r="C218" s="20"/>
      <c r="D218" s="70"/>
      <c r="E218" s="20"/>
      <c r="F218" s="20"/>
      <c r="G218" s="67"/>
      <c r="H218" s="67"/>
      <c r="I218" s="69"/>
      <c r="J218" s="69"/>
    </row>
    <row r="219" spans="1:10" x14ac:dyDescent="0.25">
      <c r="A219" s="69"/>
      <c r="B219" s="20"/>
      <c r="C219" s="20"/>
      <c r="D219" s="70"/>
      <c r="E219" s="20"/>
      <c r="F219" s="20"/>
      <c r="G219" s="67"/>
      <c r="H219" s="67"/>
      <c r="I219" s="69"/>
      <c r="J219" s="69"/>
    </row>
    <row r="220" spans="1:10" x14ac:dyDescent="0.25">
      <c r="A220" s="69"/>
      <c r="B220" s="20"/>
      <c r="C220" s="20"/>
      <c r="D220" s="70"/>
      <c r="E220" s="20"/>
      <c r="F220" s="20"/>
      <c r="G220" s="67"/>
      <c r="H220" s="67"/>
      <c r="I220" s="69"/>
      <c r="J220" s="69"/>
    </row>
    <row r="221" spans="1:10" x14ac:dyDescent="0.25">
      <c r="A221" s="69"/>
      <c r="B221" s="20"/>
      <c r="C221" s="20"/>
      <c r="D221" s="70"/>
      <c r="E221" s="20"/>
      <c r="F221" s="20"/>
      <c r="G221" s="67"/>
      <c r="H221" s="67"/>
      <c r="I221" s="69"/>
      <c r="J221" s="69"/>
    </row>
    <row r="222" spans="1:10" x14ac:dyDescent="0.25">
      <c r="A222" s="69"/>
      <c r="B222" s="20"/>
      <c r="C222" s="20"/>
      <c r="D222" s="70"/>
      <c r="E222" s="20"/>
      <c r="F222" s="20"/>
      <c r="G222" s="67"/>
      <c r="H222" s="67"/>
      <c r="I222" s="69"/>
      <c r="J222" s="69"/>
    </row>
    <row r="223" spans="1:10" x14ac:dyDescent="0.25">
      <c r="A223" s="69"/>
      <c r="B223" s="20"/>
      <c r="C223" s="20"/>
      <c r="D223" s="70"/>
      <c r="E223" s="20"/>
      <c r="F223" s="20"/>
      <c r="G223" s="67"/>
      <c r="H223" s="67"/>
      <c r="I223" s="69"/>
      <c r="J223" s="69"/>
    </row>
    <row r="224" spans="1:10" x14ac:dyDescent="0.25">
      <c r="A224" s="69"/>
      <c r="B224" s="20"/>
      <c r="C224" s="20"/>
      <c r="D224" s="70"/>
      <c r="E224" s="20"/>
      <c r="F224" s="20"/>
      <c r="G224" s="67"/>
      <c r="H224" s="67"/>
      <c r="I224" s="69"/>
      <c r="J224" s="69"/>
    </row>
    <row r="225" spans="1:10" x14ac:dyDescent="0.25">
      <c r="A225" s="69"/>
      <c r="B225" s="20"/>
      <c r="C225" s="20"/>
      <c r="D225" s="70"/>
      <c r="E225" s="20"/>
      <c r="F225" s="20"/>
      <c r="G225" s="67"/>
      <c r="H225" s="67"/>
      <c r="I225" s="69"/>
      <c r="J225" s="69"/>
    </row>
    <row r="226" spans="1:10" x14ac:dyDescent="0.25">
      <c r="A226" s="69"/>
      <c r="B226" s="20"/>
      <c r="C226" s="20"/>
      <c r="D226" s="70"/>
      <c r="E226" s="20"/>
      <c r="F226" s="20"/>
      <c r="G226" s="67"/>
      <c r="H226" s="67"/>
      <c r="I226" s="69"/>
      <c r="J226" s="69"/>
    </row>
    <row r="227" spans="1:10" x14ac:dyDescent="0.25">
      <c r="A227" s="69"/>
      <c r="B227" s="20"/>
      <c r="C227" s="20"/>
      <c r="D227" s="70"/>
      <c r="E227" s="20"/>
      <c r="F227" s="20"/>
      <c r="G227" s="67"/>
      <c r="H227" s="67"/>
      <c r="I227" s="69"/>
      <c r="J227" s="69"/>
    </row>
    <row r="228" spans="1:10" x14ac:dyDescent="0.25">
      <c r="A228" s="69"/>
      <c r="B228" s="20"/>
      <c r="C228" s="20"/>
      <c r="D228" s="70"/>
      <c r="E228" s="20"/>
      <c r="F228" s="20"/>
      <c r="G228" s="67"/>
      <c r="H228" s="67"/>
      <c r="I228" s="69"/>
      <c r="J228" s="69"/>
    </row>
    <row r="229" spans="1:10" x14ac:dyDescent="0.25">
      <c r="A229" s="69"/>
      <c r="B229" s="20"/>
      <c r="C229" s="20"/>
      <c r="D229" s="70"/>
      <c r="E229" s="20"/>
      <c r="F229" s="20"/>
      <c r="G229" s="67"/>
      <c r="H229" s="67"/>
      <c r="I229" s="69"/>
      <c r="J229" s="69"/>
    </row>
    <row r="230" spans="1:10" x14ac:dyDescent="0.25">
      <c r="A230" s="69"/>
      <c r="B230" s="20"/>
      <c r="C230" s="20"/>
      <c r="D230" s="70"/>
      <c r="E230" s="20"/>
      <c r="F230" s="20"/>
      <c r="G230" s="67"/>
      <c r="H230" s="67"/>
      <c r="I230" s="69"/>
      <c r="J230" s="69"/>
    </row>
    <row r="231" spans="1:10" x14ac:dyDescent="0.25">
      <c r="A231" s="69"/>
      <c r="B231" s="20"/>
      <c r="C231" s="20"/>
      <c r="D231" s="70"/>
      <c r="E231" s="20"/>
      <c r="F231" s="20"/>
      <c r="G231" s="67"/>
      <c r="H231" s="67"/>
      <c r="I231" s="69"/>
      <c r="J231" s="69"/>
    </row>
    <row r="232" spans="1:10" x14ac:dyDescent="0.25">
      <c r="A232" s="69"/>
      <c r="B232" s="20"/>
      <c r="C232" s="20"/>
      <c r="D232" s="70"/>
      <c r="E232" s="20"/>
      <c r="F232" s="20"/>
      <c r="G232" s="67"/>
      <c r="H232" s="67"/>
      <c r="I232" s="69"/>
      <c r="J232" s="69"/>
    </row>
    <row r="233" spans="1:10" x14ac:dyDescent="0.25">
      <c r="A233" s="69"/>
      <c r="B233" s="20"/>
      <c r="C233" s="20"/>
      <c r="D233" s="70"/>
      <c r="E233" s="20"/>
      <c r="F233" s="20"/>
      <c r="G233" s="67"/>
      <c r="H233" s="67"/>
      <c r="I233" s="69"/>
      <c r="J233" s="69"/>
    </row>
    <row r="234" spans="1:10" x14ac:dyDescent="0.25">
      <c r="A234" s="69"/>
      <c r="B234" s="20"/>
      <c r="C234" s="20"/>
      <c r="D234" s="70"/>
      <c r="E234" s="20"/>
      <c r="F234" s="20"/>
      <c r="G234" s="67"/>
      <c r="H234" s="67"/>
      <c r="I234" s="69"/>
      <c r="J234" s="69"/>
    </row>
    <row r="235" spans="1:10" x14ac:dyDescent="0.25">
      <c r="A235" s="69"/>
      <c r="B235" s="20"/>
      <c r="C235" s="20"/>
      <c r="D235" s="70"/>
      <c r="E235" s="20"/>
      <c r="F235" s="20"/>
      <c r="G235" s="67"/>
      <c r="H235" s="67"/>
      <c r="I235" s="69"/>
      <c r="J235" s="69"/>
    </row>
    <row r="236" spans="1:10" x14ac:dyDescent="0.25">
      <c r="A236" s="69"/>
      <c r="B236" s="20"/>
      <c r="C236" s="20"/>
      <c r="D236" s="70"/>
      <c r="E236" s="20"/>
      <c r="F236" s="20"/>
      <c r="G236" s="67"/>
      <c r="H236" s="67"/>
      <c r="I236" s="69"/>
      <c r="J236" s="69"/>
    </row>
    <row r="237" spans="1:10" x14ac:dyDescent="0.25">
      <c r="A237" s="69"/>
      <c r="B237" s="20"/>
      <c r="C237" s="20"/>
      <c r="D237" s="70"/>
      <c r="E237" s="20"/>
      <c r="F237" s="20"/>
      <c r="G237" s="67"/>
      <c r="H237" s="67"/>
      <c r="I237" s="69"/>
      <c r="J237" s="69"/>
    </row>
    <row r="238" spans="1:10" x14ac:dyDescent="0.25">
      <c r="A238" s="69"/>
      <c r="B238" s="20"/>
      <c r="C238" s="20"/>
      <c r="D238" s="70"/>
      <c r="E238" s="20"/>
      <c r="F238" s="20"/>
      <c r="G238" s="67"/>
      <c r="H238" s="67"/>
      <c r="I238" s="69"/>
      <c r="J238" s="69"/>
    </row>
    <row r="239" spans="1:10" x14ac:dyDescent="0.25">
      <c r="A239" s="69"/>
      <c r="B239" s="20"/>
      <c r="C239" s="20"/>
      <c r="D239" s="70"/>
      <c r="E239" s="20"/>
      <c r="F239" s="20"/>
      <c r="G239" s="67"/>
      <c r="H239" s="67"/>
      <c r="I239" s="69"/>
      <c r="J239" s="69"/>
    </row>
    <row r="240" spans="1:10" x14ac:dyDescent="0.25">
      <c r="A240" s="69"/>
      <c r="B240" s="20"/>
      <c r="C240" s="20"/>
      <c r="D240" s="70"/>
      <c r="E240" s="20"/>
      <c r="F240" s="20"/>
      <c r="G240" s="67"/>
      <c r="H240" s="67"/>
      <c r="I240" s="69"/>
      <c r="J240" s="69"/>
    </row>
    <row r="241" spans="1:10" x14ac:dyDescent="0.25">
      <c r="A241" s="69"/>
      <c r="B241" s="20"/>
      <c r="C241" s="20"/>
      <c r="D241" s="70"/>
      <c r="E241" s="20"/>
      <c r="F241" s="20"/>
      <c r="G241" s="67"/>
      <c r="H241" s="67"/>
      <c r="I241" s="69"/>
      <c r="J241" s="69"/>
    </row>
    <row r="242" spans="1:10" x14ac:dyDescent="0.25">
      <c r="A242" s="69"/>
      <c r="B242" s="20"/>
      <c r="C242" s="20"/>
      <c r="D242" s="70"/>
      <c r="E242" s="20"/>
      <c r="F242" s="20"/>
      <c r="G242" s="67"/>
      <c r="H242" s="67"/>
      <c r="I242" s="69"/>
      <c r="J242" s="69"/>
    </row>
    <row r="243" spans="1:10" x14ac:dyDescent="0.25">
      <c r="A243" s="69"/>
      <c r="B243" s="20"/>
      <c r="C243" s="20"/>
      <c r="D243" s="70"/>
      <c r="E243" s="20"/>
      <c r="F243" s="20"/>
      <c r="G243" s="67"/>
      <c r="H243" s="67"/>
      <c r="I243" s="69"/>
      <c r="J243" s="69"/>
    </row>
    <row r="244" spans="1:10" x14ac:dyDescent="0.25">
      <c r="A244" s="69"/>
      <c r="B244" s="20"/>
      <c r="C244" s="20"/>
      <c r="D244" s="70"/>
      <c r="E244" s="20"/>
      <c r="F244" s="20"/>
      <c r="G244" s="67"/>
      <c r="H244" s="67"/>
      <c r="I244" s="69"/>
      <c r="J244" s="69"/>
    </row>
    <row r="245" spans="1:10" x14ac:dyDescent="0.25">
      <c r="A245" s="69"/>
      <c r="B245" s="20"/>
      <c r="C245" s="20"/>
      <c r="D245" s="70"/>
      <c r="E245" s="20"/>
      <c r="F245" s="20"/>
      <c r="G245" s="67"/>
      <c r="H245" s="67"/>
      <c r="I245" s="69"/>
      <c r="J245" s="69"/>
    </row>
    <row r="246" spans="1:10" x14ac:dyDescent="0.25">
      <c r="A246" s="69"/>
      <c r="B246" s="20"/>
      <c r="C246" s="20"/>
      <c r="D246" s="70"/>
      <c r="E246" s="20"/>
      <c r="F246" s="20"/>
      <c r="G246" s="67"/>
      <c r="H246" s="67"/>
      <c r="I246" s="69"/>
      <c r="J246" s="69"/>
    </row>
    <row r="247" spans="1:10" x14ac:dyDescent="0.25">
      <c r="A247" s="69"/>
      <c r="B247" s="20"/>
      <c r="C247" s="20"/>
      <c r="D247" s="70"/>
      <c r="E247" s="20"/>
      <c r="F247" s="20"/>
      <c r="G247" s="67"/>
      <c r="H247" s="67"/>
      <c r="I247" s="69"/>
      <c r="J247" s="69"/>
    </row>
    <row r="248" spans="1:10" x14ac:dyDescent="0.25">
      <c r="A248" s="69"/>
      <c r="B248" s="20"/>
      <c r="C248" s="20"/>
      <c r="D248" s="70"/>
      <c r="E248" s="20"/>
      <c r="F248" s="20"/>
      <c r="G248" s="67"/>
      <c r="H248" s="67"/>
      <c r="I248" s="69"/>
      <c r="J248" s="69"/>
    </row>
    <row r="249" spans="1:10" x14ac:dyDescent="0.25">
      <c r="A249" s="69"/>
      <c r="B249" s="20"/>
      <c r="C249" s="20"/>
      <c r="D249" s="70"/>
      <c r="E249" s="20"/>
      <c r="F249" s="20"/>
      <c r="G249" s="67"/>
      <c r="H249" s="67"/>
      <c r="I249" s="69"/>
      <c r="J249" s="69"/>
    </row>
    <row r="250" spans="1:10" x14ac:dyDescent="0.25">
      <c r="A250" s="69"/>
      <c r="B250" s="20"/>
      <c r="C250" s="20"/>
      <c r="D250" s="70"/>
      <c r="E250" s="20"/>
      <c r="F250" s="20"/>
      <c r="G250" s="67"/>
      <c r="H250" s="67"/>
      <c r="I250" s="69"/>
      <c r="J250" s="69"/>
    </row>
    <row r="251" spans="1:10" x14ac:dyDescent="0.25">
      <c r="A251" s="69"/>
      <c r="B251" s="20"/>
      <c r="C251" s="20"/>
      <c r="D251" s="70"/>
      <c r="E251" s="20"/>
      <c r="F251" s="20"/>
      <c r="G251" s="67"/>
      <c r="H251" s="67"/>
      <c r="I251" s="69"/>
      <c r="J251" s="69"/>
    </row>
    <row r="252" spans="1:10" x14ac:dyDescent="0.25">
      <c r="A252" s="69"/>
      <c r="B252" s="20"/>
      <c r="C252" s="20"/>
      <c r="D252" s="70"/>
      <c r="E252" s="20"/>
      <c r="F252" s="20"/>
      <c r="G252" s="67"/>
      <c r="H252" s="67"/>
      <c r="I252" s="69"/>
      <c r="J252" s="69"/>
    </row>
    <row r="253" spans="1:10" x14ac:dyDescent="0.25">
      <c r="A253" s="69"/>
      <c r="B253" s="20"/>
      <c r="C253" s="20"/>
      <c r="D253" s="70"/>
      <c r="E253" s="20"/>
      <c r="F253" s="20"/>
      <c r="G253" s="67"/>
      <c r="H253" s="67"/>
      <c r="I253" s="69"/>
      <c r="J253" s="69"/>
    </row>
    <row r="254" spans="1:10" x14ac:dyDescent="0.25">
      <c r="A254" s="69"/>
      <c r="B254" s="20"/>
      <c r="C254" s="20"/>
      <c r="D254" s="70"/>
      <c r="E254" s="20"/>
      <c r="F254" s="20"/>
      <c r="G254" s="67"/>
      <c r="H254" s="67"/>
      <c r="I254" s="69"/>
      <c r="J254" s="69"/>
    </row>
    <row r="255" spans="1:10" x14ac:dyDescent="0.25">
      <c r="A255" s="69"/>
      <c r="B255" s="20"/>
      <c r="C255" s="20"/>
      <c r="D255" s="70"/>
      <c r="E255" s="20"/>
      <c r="F255" s="20"/>
      <c r="G255" s="67"/>
      <c r="H255" s="67"/>
      <c r="I255" s="69"/>
      <c r="J255" s="69"/>
    </row>
    <row r="256" spans="1:10" x14ac:dyDescent="0.25">
      <c r="A256" s="69"/>
      <c r="B256" s="20"/>
      <c r="C256" s="20"/>
      <c r="D256" s="70"/>
      <c r="E256" s="20"/>
      <c r="F256" s="20"/>
      <c r="G256" s="67"/>
      <c r="H256" s="67"/>
      <c r="I256" s="69"/>
      <c r="J256" s="69"/>
    </row>
    <row r="257" spans="1:10" x14ac:dyDescent="0.25">
      <c r="A257" s="69"/>
      <c r="B257" s="20"/>
      <c r="C257" s="20"/>
      <c r="D257" s="70"/>
      <c r="E257" s="20"/>
      <c r="F257" s="20"/>
      <c r="G257" s="67"/>
      <c r="H257" s="67"/>
      <c r="I257" s="69"/>
      <c r="J257" s="69"/>
    </row>
    <row r="258" spans="1:10" x14ac:dyDescent="0.25">
      <c r="A258" s="69"/>
      <c r="B258" s="20"/>
      <c r="C258" s="20"/>
      <c r="D258" s="70"/>
      <c r="E258" s="20"/>
      <c r="F258" s="20"/>
      <c r="G258" s="67"/>
      <c r="H258" s="67"/>
      <c r="I258" s="69"/>
      <c r="J258" s="69"/>
    </row>
    <row r="259" spans="1:10" x14ac:dyDescent="0.25">
      <c r="A259" s="69"/>
      <c r="B259" s="20"/>
      <c r="C259" s="20"/>
      <c r="D259" s="70"/>
      <c r="E259" s="20"/>
      <c r="F259" s="20"/>
      <c r="G259" s="67"/>
      <c r="H259" s="67"/>
      <c r="I259" s="69"/>
      <c r="J259" s="69"/>
    </row>
    <row r="260" spans="1:10" x14ac:dyDescent="0.25">
      <c r="A260" s="69"/>
      <c r="B260" s="20"/>
      <c r="C260" s="20"/>
      <c r="D260" s="70"/>
      <c r="E260" s="20"/>
      <c r="F260" s="20"/>
      <c r="G260" s="67"/>
      <c r="H260" s="67"/>
      <c r="I260" s="69"/>
      <c r="J260" s="69"/>
    </row>
    <row r="261" spans="1:10" x14ac:dyDescent="0.25">
      <c r="A261" s="69"/>
      <c r="B261" s="20"/>
      <c r="C261" s="20"/>
      <c r="D261" s="70"/>
      <c r="E261" s="20"/>
      <c r="F261" s="20"/>
      <c r="G261" s="67"/>
      <c r="H261" s="67"/>
      <c r="I261" s="69"/>
      <c r="J261" s="69"/>
    </row>
    <row r="262" spans="1:10" x14ac:dyDescent="0.25">
      <c r="A262" s="69"/>
      <c r="B262" s="20"/>
      <c r="C262" s="20"/>
      <c r="D262" s="70"/>
      <c r="E262" s="20"/>
      <c r="F262" s="20"/>
      <c r="G262" s="67"/>
      <c r="H262" s="67"/>
      <c r="I262" s="69"/>
      <c r="J262" s="69"/>
    </row>
    <row r="263" spans="1:10" x14ac:dyDescent="0.25">
      <c r="A263" s="69"/>
      <c r="B263" s="20"/>
      <c r="C263" s="20"/>
      <c r="D263" s="70"/>
      <c r="E263" s="20"/>
      <c r="F263" s="20"/>
      <c r="G263" s="67"/>
      <c r="H263" s="67"/>
      <c r="I263" s="69"/>
      <c r="J263" s="69"/>
    </row>
    <row r="264" spans="1:10" x14ac:dyDescent="0.25">
      <c r="A264" s="69"/>
      <c r="B264" s="20"/>
      <c r="C264" s="20"/>
      <c r="D264" s="70"/>
      <c r="E264" s="20"/>
      <c r="F264" s="20"/>
      <c r="G264" s="67"/>
      <c r="H264" s="67"/>
      <c r="I264" s="69"/>
      <c r="J264" s="69"/>
    </row>
    <row r="265" spans="1:10" x14ac:dyDescent="0.25">
      <c r="A265" s="69"/>
      <c r="B265" s="20"/>
      <c r="C265" s="20"/>
      <c r="D265" s="70"/>
      <c r="E265" s="20"/>
      <c r="F265" s="20"/>
      <c r="G265" s="67"/>
      <c r="H265" s="67"/>
      <c r="I265" s="69"/>
      <c r="J265" s="69"/>
    </row>
    <row r="266" spans="1:10" x14ac:dyDescent="0.25">
      <c r="A266" s="69"/>
      <c r="B266" s="20"/>
      <c r="C266" s="20"/>
      <c r="D266" s="70"/>
      <c r="E266" s="20"/>
      <c r="F266" s="20"/>
      <c r="G266" s="67"/>
      <c r="H266" s="67"/>
      <c r="I266" s="69"/>
      <c r="J266" s="69"/>
    </row>
    <row r="267" spans="1:10" x14ac:dyDescent="0.25">
      <c r="A267" s="69"/>
      <c r="B267" s="20"/>
      <c r="C267" s="20"/>
      <c r="D267" s="70"/>
      <c r="E267" s="20"/>
      <c r="F267" s="20"/>
      <c r="G267" s="67"/>
      <c r="H267" s="67"/>
      <c r="I267" s="69"/>
      <c r="J267" s="69"/>
    </row>
    <row r="268" spans="1:10" x14ac:dyDescent="0.25">
      <c r="A268" s="69"/>
      <c r="B268" s="20"/>
      <c r="C268" s="20"/>
      <c r="D268" s="70"/>
      <c r="E268" s="20"/>
      <c r="F268" s="20"/>
      <c r="G268" s="67"/>
      <c r="H268" s="67"/>
      <c r="I268" s="69"/>
      <c r="J268" s="69"/>
    </row>
    <row r="269" spans="1:10" x14ac:dyDescent="0.25">
      <c r="A269" s="69"/>
      <c r="B269" s="20"/>
      <c r="C269" s="20"/>
      <c r="D269" s="70"/>
      <c r="E269" s="20"/>
      <c r="F269" s="20"/>
      <c r="G269" s="67"/>
      <c r="H269" s="67"/>
      <c r="I269" s="69"/>
      <c r="J269" s="69"/>
    </row>
    <row r="270" spans="1:10" x14ac:dyDescent="0.25">
      <c r="A270" s="69"/>
      <c r="B270" s="20"/>
      <c r="C270" s="20"/>
      <c r="D270" s="70"/>
      <c r="E270" s="20"/>
      <c r="F270" s="20"/>
      <c r="G270" s="67"/>
      <c r="H270" s="67"/>
      <c r="I270" s="69"/>
      <c r="J270" s="69"/>
    </row>
    <row r="271" spans="1:10" x14ac:dyDescent="0.25">
      <c r="A271" s="69"/>
      <c r="B271" s="20"/>
      <c r="C271" s="20"/>
      <c r="D271" s="70"/>
      <c r="E271" s="20"/>
      <c r="F271" s="20"/>
      <c r="G271" s="67"/>
      <c r="H271" s="67"/>
      <c r="I271" s="69"/>
      <c r="J271" s="69"/>
    </row>
    <row r="272" spans="1:10" x14ac:dyDescent="0.25">
      <c r="A272" s="69"/>
      <c r="B272" s="20"/>
      <c r="C272" s="20"/>
      <c r="D272" s="70"/>
      <c r="E272" s="20"/>
      <c r="F272" s="20"/>
      <c r="G272" s="67"/>
      <c r="H272" s="67"/>
      <c r="I272" s="69"/>
      <c r="J272" s="69"/>
    </row>
    <row r="273" spans="1:10" x14ac:dyDescent="0.25">
      <c r="A273" s="69"/>
      <c r="B273" s="20"/>
      <c r="C273" s="20"/>
      <c r="D273" s="70"/>
      <c r="E273" s="20"/>
      <c r="F273" s="20"/>
      <c r="G273" s="67"/>
      <c r="H273" s="67"/>
      <c r="I273" s="69"/>
      <c r="J273" s="69"/>
    </row>
    <row r="274" spans="1:10" x14ac:dyDescent="0.25">
      <c r="A274" s="69"/>
      <c r="B274" s="20"/>
      <c r="C274" s="20"/>
      <c r="D274" s="70"/>
      <c r="E274" s="20"/>
      <c r="F274" s="20"/>
      <c r="G274" s="67"/>
      <c r="H274" s="67"/>
      <c r="I274" s="69"/>
      <c r="J274" s="69"/>
    </row>
    <row r="275" spans="1:10" x14ac:dyDescent="0.25">
      <c r="A275" s="69"/>
      <c r="B275" s="20"/>
      <c r="C275" s="20"/>
      <c r="D275" s="70"/>
      <c r="E275" s="20"/>
      <c r="F275" s="20"/>
      <c r="G275" s="67"/>
      <c r="H275" s="67"/>
      <c r="I275" s="69"/>
      <c r="J275" s="69"/>
    </row>
    <row r="276" spans="1:10" x14ac:dyDescent="0.25">
      <c r="A276" s="69"/>
      <c r="B276" s="20"/>
      <c r="C276" s="20"/>
      <c r="D276" s="70"/>
      <c r="E276" s="20"/>
      <c r="F276" s="20"/>
      <c r="G276" s="67"/>
      <c r="H276" s="67"/>
      <c r="I276" s="69"/>
      <c r="J276" s="69"/>
    </row>
    <row r="277" spans="1:10" x14ac:dyDescent="0.25">
      <c r="A277" s="69"/>
      <c r="B277" s="20"/>
      <c r="C277" s="20"/>
      <c r="D277" s="70"/>
      <c r="E277" s="20"/>
      <c r="F277" s="20"/>
      <c r="G277" s="67"/>
      <c r="H277" s="67"/>
      <c r="I277" s="69"/>
      <c r="J277" s="69"/>
    </row>
    <row r="278" spans="1:10" x14ac:dyDescent="0.25">
      <c r="A278" s="69"/>
      <c r="B278" s="20"/>
      <c r="C278" s="20"/>
      <c r="D278" s="70"/>
      <c r="E278" s="20"/>
      <c r="F278" s="20"/>
      <c r="G278" s="67"/>
      <c r="H278" s="67"/>
      <c r="I278" s="69"/>
      <c r="J278" s="69"/>
    </row>
    <row r="279" spans="1:10" x14ac:dyDescent="0.25">
      <c r="A279" s="69"/>
      <c r="B279" s="20"/>
      <c r="C279" s="20"/>
      <c r="D279" s="70"/>
      <c r="E279" s="20"/>
      <c r="F279" s="20"/>
      <c r="G279" s="67"/>
      <c r="H279" s="67"/>
      <c r="I279" s="69"/>
      <c r="J279" s="69"/>
    </row>
    <row r="280" spans="1:10" x14ac:dyDescent="0.25">
      <c r="A280" s="69"/>
      <c r="B280" s="20"/>
      <c r="C280" s="20"/>
      <c r="D280" s="70"/>
      <c r="E280" s="20"/>
      <c r="F280" s="20"/>
      <c r="G280" s="67"/>
      <c r="H280" s="67"/>
      <c r="I280" s="69"/>
      <c r="J280" s="69"/>
    </row>
    <row r="281" spans="1:10" x14ac:dyDescent="0.25">
      <c r="A281" s="69"/>
      <c r="B281" s="20"/>
      <c r="C281" s="20"/>
      <c r="D281" s="70"/>
      <c r="E281" s="20"/>
      <c r="F281" s="20"/>
      <c r="G281" s="67"/>
      <c r="H281" s="67"/>
      <c r="I281" s="69"/>
      <c r="J281" s="69"/>
    </row>
    <row r="282" spans="1:10" x14ac:dyDescent="0.25">
      <c r="A282" s="69"/>
      <c r="B282" s="20"/>
      <c r="C282" s="20"/>
      <c r="D282" s="70"/>
      <c r="E282" s="20"/>
      <c r="F282" s="20"/>
      <c r="G282" s="67"/>
      <c r="H282" s="67"/>
      <c r="I282" s="69"/>
      <c r="J282" s="69"/>
    </row>
    <row r="283" spans="1:10" x14ac:dyDescent="0.25">
      <c r="A283" s="69"/>
      <c r="B283" s="20"/>
      <c r="C283" s="20"/>
      <c r="D283" s="70"/>
      <c r="E283" s="20"/>
      <c r="F283" s="20"/>
      <c r="G283" s="67"/>
      <c r="H283" s="67"/>
      <c r="I283" s="69"/>
      <c r="J283" s="69"/>
    </row>
    <row r="284" spans="1:10" x14ac:dyDescent="0.25">
      <c r="A284" s="69"/>
      <c r="B284" s="20"/>
      <c r="C284" s="20"/>
      <c r="D284" s="70"/>
      <c r="E284" s="20"/>
      <c r="F284" s="20"/>
      <c r="G284" s="67"/>
      <c r="H284" s="67"/>
      <c r="I284" s="69"/>
      <c r="J284" s="69"/>
    </row>
    <row r="285" spans="1:10" x14ac:dyDescent="0.25">
      <c r="A285" s="69"/>
      <c r="B285" s="20"/>
      <c r="C285" s="20"/>
      <c r="D285" s="70"/>
      <c r="E285" s="20"/>
      <c r="F285" s="20"/>
      <c r="G285" s="67"/>
      <c r="H285" s="67"/>
      <c r="I285" s="69"/>
      <c r="J285" s="69"/>
    </row>
    <row r="286" spans="1:10" x14ac:dyDescent="0.25">
      <c r="A286" s="69"/>
      <c r="B286" s="20"/>
      <c r="C286" s="20"/>
      <c r="D286" s="70"/>
      <c r="E286" s="20"/>
      <c r="F286" s="20"/>
      <c r="G286" s="67"/>
      <c r="H286" s="67"/>
      <c r="I286" s="69"/>
      <c r="J286" s="69"/>
    </row>
    <row r="287" spans="1:10" x14ac:dyDescent="0.25">
      <c r="A287" s="69"/>
      <c r="B287" s="20"/>
      <c r="C287" s="20"/>
      <c r="D287" s="70"/>
      <c r="E287" s="20"/>
      <c r="F287" s="20"/>
      <c r="G287" s="67"/>
      <c r="H287" s="67"/>
      <c r="I287" s="69"/>
      <c r="J287" s="69"/>
    </row>
    <row r="288" spans="1:10" x14ac:dyDescent="0.25">
      <c r="A288" s="69"/>
      <c r="B288" s="20"/>
      <c r="C288" s="20"/>
      <c r="D288" s="70"/>
      <c r="E288" s="20"/>
      <c r="F288" s="20"/>
      <c r="G288" s="67"/>
      <c r="H288" s="67"/>
      <c r="I288" s="69"/>
      <c r="J288" s="69"/>
    </row>
    <row r="289" spans="1:10" x14ac:dyDescent="0.25">
      <c r="A289" s="69"/>
      <c r="B289" s="20"/>
      <c r="C289" s="20"/>
      <c r="D289" s="70"/>
      <c r="E289" s="20"/>
      <c r="F289" s="20"/>
      <c r="G289" s="67"/>
      <c r="H289" s="67"/>
      <c r="I289" s="69"/>
      <c r="J289" s="69"/>
    </row>
    <row r="290" spans="1:10" x14ac:dyDescent="0.25">
      <c r="A290" s="69"/>
      <c r="B290" s="20"/>
      <c r="C290" s="20"/>
      <c r="D290" s="70"/>
      <c r="E290" s="20"/>
      <c r="F290" s="20"/>
      <c r="G290" s="67"/>
      <c r="H290" s="67"/>
      <c r="I290" s="69"/>
      <c r="J290" s="69"/>
    </row>
    <row r="291" spans="1:10" x14ac:dyDescent="0.25">
      <c r="A291" s="69"/>
      <c r="B291" s="20"/>
      <c r="C291" s="20"/>
      <c r="D291" s="70"/>
      <c r="E291" s="20"/>
      <c r="F291" s="20"/>
      <c r="G291" s="67"/>
      <c r="H291" s="67"/>
      <c r="I291" s="69"/>
      <c r="J291" s="69"/>
    </row>
    <row r="292" spans="1:10" x14ac:dyDescent="0.25">
      <c r="A292" s="69"/>
      <c r="B292" s="20"/>
      <c r="C292" s="20"/>
      <c r="D292" s="70"/>
      <c r="E292" s="20"/>
      <c r="F292" s="20"/>
      <c r="G292" s="67"/>
      <c r="H292" s="67"/>
      <c r="I292" s="69"/>
      <c r="J292" s="69"/>
    </row>
    <row r="293" spans="1:10" x14ac:dyDescent="0.25">
      <c r="A293" s="69"/>
      <c r="B293" s="20"/>
      <c r="C293" s="20"/>
      <c r="D293" s="70"/>
      <c r="E293" s="20"/>
      <c r="F293" s="20"/>
      <c r="G293" s="67"/>
      <c r="H293" s="67"/>
      <c r="I293" s="69"/>
      <c r="J293" s="69"/>
    </row>
    <row r="294" spans="1:10" x14ac:dyDescent="0.25">
      <c r="A294" s="69"/>
      <c r="B294" s="20"/>
      <c r="C294" s="20"/>
      <c r="D294" s="70"/>
      <c r="E294" s="20"/>
      <c r="F294" s="20"/>
      <c r="G294" s="67"/>
      <c r="H294" s="67"/>
      <c r="I294" s="69"/>
      <c r="J294" s="69"/>
    </row>
    <row r="295" spans="1:10" x14ac:dyDescent="0.25">
      <c r="A295" s="69"/>
      <c r="B295" s="20"/>
      <c r="C295" s="20"/>
      <c r="D295" s="70"/>
      <c r="E295" s="20"/>
      <c r="F295" s="20"/>
      <c r="G295" s="67"/>
      <c r="H295" s="67"/>
      <c r="I295" s="69"/>
      <c r="J295" s="69"/>
    </row>
    <row r="296" spans="1:10" x14ac:dyDescent="0.25">
      <c r="A296" s="69"/>
      <c r="B296" s="20"/>
      <c r="C296" s="20"/>
      <c r="D296" s="70"/>
      <c r="E296" s="20"/>
      <c r="F296" s="20"/>
      <c r="G296" s="67"/>
      <c r="H296" s="67"/>
      <c r="I296" s="69"/>
      <c r="J296" s="69"/>
    </row>
    <row r="297" spans="1:10" x14ac:dyDescent="0.25">
      <c r="A297" s="69"/>
      <c r="B297" s="20"/>
      <c r="C297" s="20"/>
      <c r="D297" s="70"/>
      <c r="E297" s="20"/>
      <c r="F297" s="20"/>
      <c r="G297" s="67"/>
      <c r="H297" s="67"/>
      <c r="I297" s="69"/>
      <c r="J297" s="69"/>
    </row>
    <row r="298" spans="1:10" x14ac:dyDescent="0.25">
      <c r="A298" s="69"/>
      <c r="B298" s="20"/>
      <c r="C298" s="20"/>
      <c r="D298" s="70"/>
      <c r="E298" s="20"/>
      <c r="F298" s="20"/>
      <c r="G298" s="67"/>
      <c r="H298" s="67"/>
      <c r="I298" s="69"/>
      <c r="J298" s="69"/>
    </row>
    <row r="299" spans="1:10" x14ac:dyDescent="0.25">
      <c r="A299" s="69"/>
      <c r="B299" s="20"/>
      <c r="C299" s="20"/>
      <c r="D299" s="70"/>
      <c r="E299" s="20"/>
      <c r="F299" s="20"/>
      <c r="G299" s="67"/>
      <c r="H299" s="67"/>
      <c r="I299" s="69"/>
      <c r="J299" s="69"/>
    </row>
    <row r="300" spans="1:10" x14ac:dyDescent="0.25">
      <c r="A300" s="69"/>
      <c r="B300" s="20"/>
      <c r="C300" s="20"/>
      <c r="D300" s="70"/>
      <c r="E300" s="20"/>
      <c r="F300" s="20"/>
      <c r="G300" s="67"/>
      <c r="H300" s="67"/>
      <c r="I300" s="69"/>
      <c r="J300" s="69"/>
    </row>
    <row r="301" spans="1:10" x14ac:dyDescent="0.25">
      <c r="A301" s="69"/>
      <c r="B301" s="20"/>
      <c r="C301" s="20"/>
      <c r="D301" s="70"/>
      <c r="E301" s="20"/>
      <c r="F301" s="20"/>
      <c r="G301" s="67"/>
      <c r="H301" s="67"/>
      <c r="I301" s="69"/>
      <c r="J301" s="69"/>
    </row>
    <row r="302" spans="1:10" x14ac:dyDescent="0.25">
      <c r="A302" s="69"/>
      <c r="B302" s="20"/>
      <c r="C302" s="20"/>
      <c r="D302" s="70"/>
      <c r="E302" s="20"/>
      <c r="F302" s="20"/>
      <c r="G302" s="67"/>
      <c r="H302" s="67"/>
      <c r="I302" s="69"/>
      <c r="J302" s="69"/>
    </row>
    <row r="303" spans="1:10" x14ac:dyDescent="0.25">
      <c r="A303" s="69"/>
      <c r="B303" s="20"/>
      <c r="C303" s="20"/>
      <c r="D303" s="70"/>
      <c r="E303" s="20"/>
      <c r="F303" s="20"/>
      <c r="G303" s="67"/>
      <c r="H303" s="67"/>
      <c r="I303" s="69"/>
      <c r="J303" s="69"/>
    </row>
    <row r="304" spans="1:10" x14ac:dyDescent="0.25">
      <c r="A304" s="69"/>
      <c r="B304" s="20"/>
      <c r="C304" s="20"/>
      <c r="D304" s="70"/>
      <c r="E304" s="20"/>
      <c r="F304" s="20"/>
      <c r="G304" s="67"/>
      <c r="H304" s="67"/>
      <c r="I304" s="69"/>
      <c r="J304" s="69"/>
    </row>
    <row r="305" spans="1:10" x14ac:dyDescent="0.25">
      <c r="A305" s="69"/>
      <c r="B305" s="20"/>
      <c r="C305" s="20"/>
      <c r="D305" s="70"/>
      <c r="E305" s="20"/>
      <c r="F305" s="20"/>
      <c r="G305" s="67"/>
      <c r="H305" s="67"/>
      <c r="I305" s="69"/>
      <c r="J305" s="69"/>
    </row>
    <row r="306" spans="1:10" x14ac:dyDescent="0.25">
      <c r="A306" s="69"/>
      <c r="B306" s="20"/>
      <c r="C306" s="20"/>
      <c r="D306" s="70"/>
      <c r="E306" s="20"/>
      <c r="F306" s="20"/>
      <c r="G306" s="67"/>
      <c r="H306" s="67"/>
      <c r="I306" s="69"/>
      <c r="J306" s="69"/>
    </row>
    <row r="307" spans="1:10" x14ac:dyDescent="0.25">
      <c r="A307" s="69"/>
      <c r="B307" s="20"/>
      <c r="C307" s="20"/>
      <c r="D307" s="70"/>
      <c r="E307" s="20"/>
      <c r="F307" s="20"/>
      <c r="G307" s="67"/>
      <c r="H307" s="67"/>
      <c r="I307" s="69"/>
      <c r="J307" s="69"/>
    </row>
    <row r="308" spans="1:10" x14ac:dyDescent="0.25">
      <c r="A308" s="69"/>
      <c r="B308" s="20"/>
      <c r="C308" s="20"/>
      <c r="D308" s="70"/>
      <c r="E308" s="20"/>
      <c r="F308" s="20"/>
      <c r="G308" s="67"/>
      <c r="H308" s="67"/>
      <c r="I308" s="69"/>
      <c r="J308" s="69"/>
    </row>
    <row r="309" spans="1:10" x14ac:dyDescent="0.25">
      <c r="A309" s="69"/>
      <c r="B309" s="20"/>
      <c r="C309" s="20"/>
      <c r="D309" s="70"/>
      <c r="E309" s="20"/>
      <c r="F309" s="20"/>
      <c r="G309" s="67"/>
      <c r="H309" s="67"/>
      <c r="I309" s="69"/>
      <c r="J309" s="69"/>
    </row>
    <row r="310" spans="1:10" x14ac:dyDescent="0.25">
      <c r="A310" s="69"/>
      <c r="B310" s="20"/>
      <c r="C310" s="20"/>
      <c r="D310" s="70"/>
      <c r="E310" s="20"/>
      <c r="F310" s="20"/>
      <c r="G310" s="67"/>
      <c r="H310" s="67"/>
      <c r="I310" s="69"/>
      <c r="J310" s="69"/>
    </row>
    <row r="311" spans="1:10" x14ac:dyDescent="0.25">
      <c r="A311" s="69"/>
      <c r="B311" s="20"/>
      <c r="C311" s="20"/>
      <c r="D311" s="70"/>
      <c r="E311" s="20"/>
      <c r="F311" s="20"/>
      <c r="G311" s="67"/>
      <c r="H311" s="67"/>
      <c r="I311" s="69"/>
      <c r="J311" s="69"/>
    </row>
    <row r="312" spans="1:10" x14ac:dyDescent="0.25">
      <c r="A312" s="69"/>
      <c r="B312" s="20"/>
      <c r="C312" s="20"/>
      <c r="D312" s="70"/>
      <c r="E312" s="20"/>
      <c r="F312" s="20"/>
      <c r="G312" s="67"/>
      <c r="H312" s="67"/>
      <c r="I312" s="69"/>
      <c r="J312" s="69"/>
    </row>
    <row r="313" spans="1:10" x14ac:dyDescent="0.25">
      <c r="A313" s="69"/>
      <c r="B313" s="20"/>
      <c r="C313" s="20"/>
      <c r="D313" s="70"/>
      <c r="E313" s="20"/>
      <c r="F313" s="20"/>
      <c r="G313" s="67"/>
      <c r="H313" s="67"/>
      <c r="I313" s="69"/>
      <c r="J313" s="69"/>
    </row>
    <row r="314" spans="1:10" x14ac:dyDescent="0.25">
      <c r="A314" s="69"/>
      <c r="B314" s="20"/>
      <c r="C314" s="20"/>
      <c r="D314" s="70"/>
      <c r="E314" s="20"/>
      <c r="F314" s="20"/>
      <c r="G314" s="67"/>
      <c r="H314" s="67"/>
      <c r="I314" s="69"/>
      <c r="J314" s="69"/>
    </row>
    <row r="315" spans="1:10" x14ac:dyDescent="0.25">
      <c r="A315" s="69"/>
      <c r="B315" s="20"/>
      <c r="C315" s="20"/>
      <c r="D315" s="70"/>
      <c r="E315" s="20"/>
      <c r="F315" s="20"/>
      <c r="G315" s="67"/>
      <c r="H315" s="67"/>
      <c r="I315" s="69"/>
      <c r="J315" s="69"/>
    </row>
    <row r="316" spans="1:10" x14ac:dyDescent="0.25">
      <c r="A316" s="69"/>
      <c r="B316" s="20"/>
      <c r="C316" s="20"/>
      <c r="D316" s="70"/>
      <c r="E316" s="20"/>
      <c r="F316" s="20"/>
      <c r="G316" s="67"/>
      <c r="H316" s="67"/>
      <c r="I316" s="69"/>
      <c r="J316" s="69"/>
    </row>
    <row r="317" spans="1:10" x14ac:dyDescent="0.25">
      <c r="A317" s="69"/>
      <c r="B317" s="20"/>
      <c r="C317" s="20"/>
      <c r="D317" s="70"/>
      <c r="E317" s="20"/>
      <c r="F317" s="20"/>
      <c r="G317" s="67"/>
      <c r="H317" s="67"/>
      <c r="I317" s="69"/>
      <c r="J317" s="69"/>
    </row>
    <row r="318" spans="1:10" x14ac:dyDescent="0.25">
      <c r="A318" s="69"/>
      <c r="B318" s="20"/>
      <c r="C318" s="20"/>
      <c r="D318" s="70"/>
      <c r="E318" s="20"/>
      <c r="F318" s="20"/>
      <c r="G318" s="67"/>
      <c r="H318" s="67"/>
      <c r="I318" s="69"/>
      <c r="J318" s="69"/>
    </row>
    <row r="319" spans="1:10" x14ac:dyDescent="0.25">
      <c r="A319" s="69"/>
      <c r="B319" s="20"/>
      <c r="C319" s="20"/>
      <c r="D319" s="70"/>
      <c r="E319" s="20"/>
      <c r="F319" s="20"/>
      <c r="G319" s="67"/>
      <c r="H319" s="67"/>
      <c r="I319" s="69"/>
      <c r="J319" s="69"/>
    </row>
    <row r="320" spans="1:10" x14ac:dyDescent="0.25">
      <c r="A320" s="69"/>
      <c r="B320" s="20"/>
      <c r="C320" s="20"/>
      <c r="D320" s="70"/>
      <c r="E320" s="20"/>
      <c r="F320" s="20"/>
      <c r="G320" s="67"/>
      <c r="H320" s="67"/>
      <c r="I320" s="69"/>
      <c r="J320" s="69"/>
    </row>
    <row r="321" spans="1:10" x14ac:dyDescent="0.25">
      <c r="A321" s="69"/>
      <c r="B321" s="20"/>
      <c r="C321" s="20"/>
      <c r="D321" s="70"/>
      <c r="E321" s="20"/>
      <c r="F321" s="20"/>
      <c r="G321" s="67"/>
      <c r="H321" s="67"/>
      <c r="I321" s="69"/>
      <c r="J321" s="69"/>
    </row>
    <row r="322" spans="1:10" x14ac:dyDescent="0.25">
      <c r="A322" s="69"/>
      <c r="B322" s="20"/>
      <c r="C322" s="20"/>
      <c r="D322" s="70"/>
      <c r="E322" s="20"/>
      <c r="F322" s="20"/>
      <c r="G322" s="67"/>
      <c r="H322" s="67"/>
      <c r="I322" s="69"/>
      <c r="J322" s="69"/>
    </row>
    <row r="323" spans="1:10" x14ac:dyDescent="0.25">
      <c r="A323" s="69"/>
      <c r="B323" s="20"/>
      <c r="C323" s="20"/>
      <c r="D323" s="70"/>
      <c r="E323" s="20"/>
      <c r="F323" s="20"/>
      <c r="G323" s="67"/>
      <c r="H323" s="67"/>
      <c r="I323" s="69"/>
      <c r="J323" s="69"/>
    </row>
    <row r="324" spans="1:10" x14ac:dyDescent="0.25">
      <c r="A324" s="69"/>
      <c r="B324" s="20"/>
      <c r="C324" s="20"/>
      <c r="D324" s="70"/>
      <c r="E324" s="20"/>
      <c r="F324" s="20"/>
      <c r="G324" s="67"/>
      <c r="H324" s="67"/>
      <c r="I324" s="69"/>
      <c r="J324" s="69"/>
    </row>
    <row r="325" spans="1:10" x14ac:dyDescent="0.25">
      <c r="A325" s="69"/>
      <c r="B325" s="20"/>
      <c r="C325" s="20"/>
      <c r="D325" s="70"/>
      <c r="E325" s="20"/>
      <c r="F325" s="20"/>
      <c r="G325" s="67"/>
      <c r="H325" s="67"/>
      <c r="I325" s="69"/>
      <c r="J325" s="69"/>
    </row>
    <row r="326" spans="1:10" x14ac:dyDescent="0.25">
      <c r="A326" s="69"/>
      <c r="B326" s="20"/>
      <c r="C326" s="20"/>
      <c r="D326" s="70"/>
      <c r="E326" s="20"/>
      <c r="F326" s="20"/>
      <c r="G326" s="67"/>
      <c r="H326" s="67"/>
      <c r="I326" s="69"/>
      <c r="J326" s="69"/>
    </row>
    <row r="327" spans="1:10" x14ac:dyDescent="0.25">
      <c r="A327" s="69"/>
      <c r="B327" s="20"/>
      <c r="C327" s="20"/>
      <c r="D327" s="70"/>
      <c r="E327" s="20"/>
      <c r="F327" s="20"/>
      <c r="G327" s="67"/>
      <c r="H327" s="67"/>
      <c r="I327" s="69"/>
      <c r="J327" s="69"/>
    </row>
    <row r="328" spans="1:10" x14ac:dyDescent="0.25">
      <c r="A328" s="69"/>
      <c r="B328" s="20"/>
      <c r="C328" s="20"/>
      <c r="D328" s="70"/>
      <c r="E328" s="20"/>
      <c r="F328" s="20"/>
      <c r="G328" s="67"/>
      <c r="H328" s="67"/>
      <c r="I328" s="69"/>
      <c r="J328" s="69"/>
    </row>
    <row r="329" spans="1:10" x14ac:dyDescent="0.25">
      <c r="A329" s="69"/>
      <c r="B329" s="20"/>
      <c r="C329" s="20"/>
      <c r="D329" s="70"/>
      <c r="E329" s="20"/>
      <c r="F329" s="20"/>
      <c r="G329" s="67"/>
      <c r="H329" s="67"/>
      <c r="I329" s="69"/>
      <c r="J329" s="69"/>
    </row>
    <row r="330" spans="1:10" x14ac:dyDescent="0.25">
      <c r="A330" s="69"/>
      <c r="B330" s="20"/>
      <c r="C330" s="20"/>
      <c r="D330" s="70"/>
      <c r="E330" s="20"/>
      <c r="F330" s="20"/>
      <c r="G330" s="67"/>
      <c r="H330" s="67"/>
      <c r="I330" s="69"/>
      <c r="J330" s="69"/>
    </row>
    <row r="331" spans="1:10" x14ac:dyDescent="0.25">
      <c r="A331" s="69"/>
      <c r="B331" s="20"/>
      <c r="C331" s="20"/>
      <c r="D331" s="70"/>
      <c r="E331" s="20"/>
      <c r="F331" s="20"/>
      <c r="G331" s="67"/>
      <c r="H331" s="67"/>
      <c r="I331" s="69"/>
      <c r="J331" s="69"/>
    </row>
    <row r="332" spans="1:10" x14ac:dyDescent="0.25">
      <c r="A332" s="69"/>
      <c r="B332" s="20"/>
      <c r="C332" s="20"/>
      <c r="D332" s="70"/>
      <c r="E332" s="20"/>
      <c r="F332" s="20"/>
      <c r="G332" s="67"/>
      <c r="H332" s="67"/>
      <c r="I332" s="69"/>
      <c r="J332" s="69"/>
    </row>
    <row r="333" spans="1:10" x14ac:dyDescent="0.25">
      <c r="A333" s="69"/>
      <c r="B333" s="20"/>
      <c r="C333" s="20"/>
      <c r="D333" s="70"/>
      <c r="E333" s="20"/>
      <c r="F333" s="20"/>
      <c r="G333" s="67"/>
      <c r="H333" s="67"/>
      <c r="I333" s="69"/>
      <c r="J333" s="69"/>
    </row>
    <row r="334" spans="1:10" x14ac:dyDescent="0.25">
      <c r="A334" s="69"/>
      <c r="B334" s="20"/>
      <c r="C334" s="20"/>
      <c r="D334" s="70"/>
      <c r="E334" s="20"/>
      <c r="F334" s="20"/>
      <c r="G334" s="67"/>
      <c r="H334" s="67"/>
      <c r="I334" s="69"/>
      <c r="J334" s="69"/>
    </row>
    <row r="335" spans="1:10" x14ac:dyDescent="0.25">
      <c r="A335" s="69"/>
      <c r="B335" s="20"/>
      <c r="C335" s="20"/>
      <c r="D335" s="70"/>
      <c r="E335" s="20"/>
      <c r="F335" s="20"/>
      <c r="G335" s="67"/>
      <c r="H335" s="67"/>
      <c r="I335" s="69"/>
      <c r="J335" s="69"/>
    </row>
    <row r="336" spans="1:10" x14ac:dyDescent="0.25">
      <c r="A336" s="69"/>
      <c r="B336" s="20"/>
      <c r="C336" s="20"/>
      <c r="D336" s="70"/>
      <c r="E336" s="20"/>
      <c r="F336" s="20"/>
      <c r="G336" s="67"/>
      <c r="H336" s="67"/>
      <c r="I336" s="69"/>
      <c r="J336" s="69"/>
    </row>
    <row r="337" spans="1:10" x14ac:dyDescent="0.25">
      <c r="A337" s="69"/>
      <c r="B337" s="20"/>
      <c r="C337" s="20"/>
      <c r="D337" s="70"/>
      <c r="E337" s="20"/>
      <c r="F337" s="20"/>
      <c r="G337" s="67"/>
      <c r="H337" s="67"/>
      <c r="I337" s="69"/>
      <c r="J337" s="69"/>
    </row>
    <row r="338" spans="1:10" x14ac:dyDescent="0.25">
      <c r="A338" s="69"/>
      <c r="B338" s="20"/>
      <c r="C338" s="20"/>
      <c r="D338" s="70"/>
      <c r="E338" s="20"/>
      <c r="F338" s="20"/>
      <c r="G338" s="67"/>
      <c r="H338" s="67"/>
      <c r="I338" s="69"/>
      <c r="J338" s="69"/>
    </row>
    <row r="339" spans="1:10" x14ac:dyDescent="0.25">
      <c r="A339" s="69"/>
      <c r="B339" s="20"/>
      <c r="C339" s="20"/>
      <c r="D339" s="70"/>
      <c r="E339" s="20"/>
      <c r="F339" s="20"/>
      <c r="G339" s="67"/>
      <c r="H339" s="67"/>
      <c r="I339" s="69"/>
      <c r="J339" s="69"/>
    </row>
    <row r="340" spans="1:10" x14ac:dyDescent="0.25">
      <c r="A340" s="69"/>
      <c r="B340" s="20"/>
      <c r="C340" s="20"/>
      <c r="D340" s="70"/>
      <c r="E340" s="20"/>
      <c r="F340" s="20"/>
      <c r="G340" s="67"/>
      <c r="H340" s="67"/>
      <c r="I340" s="69"/>
      <c r="J340" s="69"/>
    </row>
    <row r="341" spans="1:10" x14ac:dyDescent="0.25">
      <c r="A341" s="69"/>
      <c r="B341" s="20"/>
      <c r="C341" s="20"/>
      <c r="D341" s="70"/>
      <c r="E341" s="20"/>
      <c r="F341" s="20"/>
      <c r="G341" s="67"/>
      <c r="H341" s="67"/>
      <c r="I341" s="69"/>
      <c r="J341" s="69"/>
    </row>
    <row r="342" spans="1:10" x14ac:dyDescent="0.25">
      <c r="A342" s="69"/>
      <c r="B342" s="20"/>
      <c r="C342" s="20"/>
      <c r="D342" s="70"/>
      <c r="E342" s="20"/>
      <c r="F342" s="20"/>
      <c r="G342" s="67"/>
      <c r="H342" s="67"/>
      <c r="I342" s="69"/>
      <c r="J342" s="69"/>
    </row>
    <row r="343" spans="1:10" x14ac:dyDescent="0.25">
      <c r="A343" s="69"/>
      <c r="B343" s="20"/>
      <c r="C343" s="20"/>
      <c r="D343" s="70"/>
      <c r="E343" s="20"/>
      <c r="F343" s="20"/>
      <c r="G343" s="67"/>
      <c r="H343" s="67"/>
      <c r="I343" s="69"/>
      <c r="J343" s="69"/>
    </row>
    <row r="344" spans="1:10" x14ac:dyDescent="0.25">
      <c r="A344" s="69"/>
      <c r="B344" s="20"/>
      <c r="C344" s="20"/>
      <c r="D344" s="70"/>
      <c r="E344" s="20"/>
      <c r="F344" s="20"/>
      <c r="G344" s="67"/>
      <c r="H344" s="67"/>
      <c r="I344" s="69"/>
      <c r="J344" s="69"/>
    </row>
    <row r="345" spans="1:10" x14ac:dyDescent="0.25">
      <c r="A345" s="69"/>
      <c r="B345" s="20"/>
      <c r="C345" s="20"/>
      <c r="D345" s="70"/>
      <c r="E345" s="20"/>
      <c r="F345" s="20"/>
      <c r="G345" s="67"/>
      <c r="H345" s="67"/>
      <c r="I345" s="69"/>
      <c r="J345" s="69"/>
    </row>
    <row r="346" spans="1:10" x14ac:dyDescent="0.25">
      <c r="A346" s="69"/>
      <c r="B346" s="20"/>
      <c r="C346" s="20"/>
      <c r="D346" s="70"/>
      <c r="E346" s="20"/>
      <c r="F346" s="20"/>
      <c r="G346" s="67"/>
      <c r="H346" s="67"/>
      <c r="I346" s="69"/>
      <c r="J346" s="69"/>
    </row>
    <row r="347" spans="1:10" x14ac:dyDescent="0.25">
      <c r="A347" s="69"/>
      <c r="B347" s="20"/>
      <c r="C347" s="20"/>
      <c r="D347" s="70"/>
      <c r="E347" s="20"/>
      <c r="F347" s="20"/>
      <c r="G347" s="67"/>
      <c r="H347" s="67"/>
      <c r="I347" s="69"/>
      <c r="J347" s="69"/>
    </row>
    <row r="348" spans="1:10" x14ac:dyDescent="0.25">
      <c r="A348" s="69"/>
      <c r="B348" s="20"/>
      <c r="C348" s="20"/>
      <c r="D348" s="70"/>
      <c r="E348" s="20"/>
      <c r="F348" s="20"/>
      <c r="G348" s="67"/>
      <c r="H348" s="67"/>
      <c r="I348" s="69"/>
      <c r="J348" s="69"/>
    </row>
    <row r="349" spans="1:10" x14ac:dyDescent="0.25">
      <c r="A349" s="69"/>
      <c r="B349" s="20"/>
      <c r="C349" s="20"/>
      <c r="D349" s="70"/>
      <c r="E349" s="20"/>
      <c r="F349" s="20"/>
      <c r="G349" s="67"/>
      <c r="H349" s="67"/>
      <c r="I349" s="69"/>
      <c r="J349" s="69"/>
    </row>
    <row r="350" spans="1:10" x14ac:dyDescent="0.25">
      <c r="A350" s="69"/>
      <c r="B350" s="20"/>
      <c r="C350" s="20"/>
      <c r="D350" s="70"/>
      <c r="E350" s="20"/>
      <c r="F350" s="20"/>
      <c r="G350" s="67"/>
      <c r="H350" s="67"/>
      <c r="I350" s="69"/>
      <c r="J350" s="69"/>
    </row>
    <row r="351" spans="1:10" x14ac:dyDescent="0.25">
      <c r="A351" s="69"/>
      <c r="B351" s="20"/>
      <c r="C351" s="20"/>
      <c r="D351" s="70"/>
      <c r="E351" s="20"/>
      <c r="F351" s="20"/>
      <c r="G351" s="67"/>
      <c r="H351" s="67"/>
      <c r="I351" s="69"/>
      <c r="J351" s="69"/>
    </row>
    <row r="352" spans="1:10" x14ac:dyDescent="0.25">
      <c r="A352" s="69"/>
      <c r="B352" s="20"/>
      <c r="C352" s="20"/>
      <c r="D352" s="70"/>
      <c r="E352" s="20"/>
      <c r="F352" s="20"/>
      <c r="G352" s="67"/>
      <c r="H352" s="67"/>
      <c r="I352" s="69"/>
      <c r="J352" s="69"/>
    </row>
    <row r="353" spans="1:10" x14ac:dyDescent="0.25">
      <c r="A353" s="69"/>
      <c r="B353" s="20"/>
      <c r="C353" s="20"/>
      <c r="D353" s="70"/>
      <c r="E353" s="20"/>
      <c r="F353" s="20"/>
      <c r="G353" s="67"/>
      <c r="H353" s="67"/>
      <c r="I353" s="69"/>
      <c r="J353" s="69"/>
    </row>
    <row r="354" spans="1:10" x14ac:dyDescent="0.25">
      <c r="A354" s="69"/>
      <c r="B354" s="20"/>
      <c r="C354" s="20"/>
      <c r="D354" s="70"/>
      <c r="E354" s="20"/>
      <c r="F354" s="20"/>
      <c r="G354" s="67"/>
      <c r="H354" s="67"/>
      <c r="I354" s="69"/>
      <c r="J354" s="69"/>
    </row>
    <row r="355" spans="1:10" x14ac:dyDescent="0.25">
      <c r="A355" s="69"/>
      <c r="B355" s="20"/>
      <c r="C355" s="20"/>
      <c r="D355" s="70"/>
      <c r="E355" s="20"/>
      <c r="F355" s="20"/>
      <c r="G355" s="67"/>
      <c r="H355" s="67"/>
      <c r="I355" s="69"/>
      <c r="J355" s="69"/>
    </row>
    <row r="356" spans="1:10" x14ac:dyDescent="0.25">
      <c r="A356" s="69"/>
      <c r="B356" s="20"/>
      <c r="C356" s="20"/>
      <c r="D356" s="70"/>
      <c r="E356" s="20"/>
      <c r="F356" s="20"/>
      <c r="G356" s="67"/>
      <c r="H356" s="67"/>
      <c r="I356" s="69"/>
      <c r="J356" s="69"/>
    </row>
    <row r="357" spans="1:10" x14ac:dyDescent="0.25">
      <c r="A357" s="69"/>
      <c r="B357" s="20"/>
      <c r="C357" s="20"/>
      <c r="D357" s="70"/>
      <c r="E357" s="20"/>
      <c r="F357" s="20"/>
      <c r="G357" s="67"/>
      <c r="H357" s="67"/>
      <c r="I357" s="69"/>
      <c r="J357" s="69"/>
    </row>
    <row r="358" spans="1:10" x14ac:dyDescent="0.25">
      <c r="A358" s="69"/>
      <c r="B358" s="20"/>
      <c r="C358" s="20"/>
      <c r="D358" s="70"/>
      <c r="E358" s="20"/>
      <c r="F358" s="20"/>
      <c r="G358" s="67"/>
      <c r="H358" s="67"/>
      <c r="I358" s="69"/>
      <c r="J358" s="69"/>
    </row>
    <row r="359" spans="1:10" x14ac:dyDescent="0.25">
      <c r="A359" s="69"/>
      <c r="B359" s="20"/>
      <c r="C359" s="20"/>
      <c r="D359" s="70"/>
      <c r="E359" s="20"/>
      <c r="F359" s="20"/>
      <c r="G359" s="67"/>
      <c r="H359" s="67"/>
      <c r="I359" s="69"/>
      <c r="J359" s="69"/>
    </row>
    <row r="360" spans="1:10" x14ac:dyDescent="0.25">
      <c r="A360" s="69"/>
      <c r="B360" s="20"/>
      <c r="C360" s="20"/>
      <c r="D360" s="70"/>
      <c r="E360" s="20"/>
      <c r="F360" s="20"/>
      <c r="G360" s="67"/>
      <c r="H360" s="67"/>
      <c r="I360" s="69"/>
      <c r="J360" s="69"/>
    </row>
    <row r="361" spans="1:10" x14ac:dyDescent="0.25">
      <c r="A361" s="69"/>
      <c r="B361" s="20"/>
      <c r="C361" s="20"/>
      <c r="D361" s="70"/>
      <c r="E361" s="20"/>
      <c r="F361" s="20"/>
      <c r="G361" s="67"/>
      <c r="H361" s="67"/>
      <c r="I361" s="69"/>
      <c r="J361" s="69"/>
    </row>
    <row r="362" spans="1:10" x14ac:dyDescent="0.25">
      <c r="A362" s="69"/>
      <c r="B362" s="20"/>
      <c r="C362" s="20"/>
      <c r="D362" s="70"/>
      <c r="E362" s="20"/>
      <c r="F362" s="20"/>
      <c r="G362" s="67"/>
      <c r="H362" s="67"/>
      <c r="I362" s="69"/>
      <c r="J362" s="69"/>
    </row>
    <row r="363" spans="1:10" x14ac:dyDescent="0.25">
      <c r="A363" s="69"/>
      <c r="B363" s="20"/>
      <c r="C363" s="20"/>
      <c r="D363" s="70"/>
      <c r="E363" s="20"/>
      <c r="F363" s="20"/>
      <c r="G363" s="67"/>
      <c r="H363" s="67"/>
      <c r="I363" s="69"/>
      <c r="J363" s="69"/>
    </row>
    <row r="364" spans="1:10" x14ac:dyDescent="0.25">
      <c r="A364" s="69"/>
      <c r="B364" s="20"/>
      <c r="C364" s="20"/>
      <c r="D364" s="70"/>
      <c r="E364" s="20"/>
      <c r="F364" s="20"/>
      <c r="G364" s="67"/>
      <c r="H364" s="67"/>
      <c r="I364" s="69"/>
      <c r="J364" s="69"/>
    </row>
    <row r="365" spans="1:10" x14ac:dyDescent="0.25">
      <c r="A365" s="69"/>
      <c r="B365" s="20"/>
      <c r="C365" s="20"/>
      <c r="D365" s="70"/>
      <c r="E365" s="20"/>
      <c r="F365" s="20"/>
      <c r="G365" s="67"/>
      <c r="H365" s="67"/>
      <c r="I365" s="69"/>
      <c r="J365" s="69"/>
    </row>
    <row r="366" spans="1:10" x14ac:dyDescent="0.25">
      <c r="A366" s="69"/>
      <c r="B366" s="20"/>
      <c r="C366" s="20"/>
      <c r="D366" s="70"/>
      <c r="E366" s="20"/>
      <c r="F366" s="20"/>
      <c r="G366" s="67"/>
      <c r="H366" s="67"/>
      <c r="I366" s="69"/>
      <c r="J366" s="69"/>
    </row>
    <row r="367" spans="1:10" x14ac:dyDescent="0.25">
      <c r="A367" s="69"/>
      <c r="B367" s="20"/>
      <c r="C367" s="20"/>
      <c r="D367" s="70"/>
      <c r="E367" s="20"/>
      <c r="F367" s="20"/>
      <c r="G367" s="67"/>
      <c r="H367" s="67"/>
      <c r="I367" s="69"/>
      <c r="J367" s="69"/>
    </row>
    <row r="368" spans="1:10" x14ac:dyDescent="0.25">
      <c r="A368" s="69"/>
      <c r="B368" s="20"/>
      <c r="C368" s="20"/>
      <c r="D368" s="70"/>
      <c r="E368" s="20"/>
      <c r="F368" s="20"/>
      <c r="G368" s="67"/>
      <c r="H368" s="67"/>
      <c r="I368" s="69"/>
      <c r="J368" s="69"/>
    </row>
    <row r="369" spans="1:10" x14ac:dyDescent="0.25">
      <c r="A369" s="69"/>
      <c r="B369" s="20"/>
      <c r="C369" s="20"/>
      <c r="D369" s="70"/>
      <c r="E369" s="20"/>
      <c r="F369" s="20"/>
      <c r="G369" s="67"/>
      <c r="H369" s="67"/>
      <c r="I369" s="69"/>
      <c r="J369" s="69"/>
    </row>
    <row r="370" spans="1:10" x14ac:dyDescent="0.25">
      <c r="A370" s="69"/>
      <c r="B370" s="20"/>
      <c r="C370" s="20"/>
      <c r="D370" s="70"/>
      <c r="E370" s="20"/>
      <c r="F370" s="20"/>
      <c r="G370" s="67"/>
      <c r="H370" s="67"/>
      <c r="I370" s="69"/>
      <c r="J370" s="69"/>
    </row>
    <row r="371" spans="1:10" x14ac:dyDescent="0.25">
      <c r="A371" s="69"/>
      <c r="B371" s="20"/>
      <c r="C371" s="20"/>
      <c r="D371" s="70"/>
      <c r="E371" s="20"/>
      <c r="F371" s="20"/>
      <c r="G371" s="67"/>
      <c r="H371" s="67"/>
      <c r="I371" s="69"/>
      <c r="J371" s="69"/>
    </row>
    <row r="372" spans="1:10" x14ac:dyDescent="0.25">
      <c r="A372" s="69"/>
      <c r="B372" s="20"/>
      <c r="C372" s="20"/>
      <c r="D372" s="70"/>
      <c r="E372" s="20"/>
      <c r="F372" s="20"/>
      <c r="G372" s="67"/>
      <c r="H372" s="67"/>
      <c r="I372" s="69"/>
      <c r="J372" s="69"/>
    </row>
    <row r="373" spans="1:10" x14ac:dyDescent="0.25">
      <c r="A373" s="69"/>
      <c r="B373" s="20"/>
      <c r="C373" s="20"/>
      <c r="D373" s="70"/>
      <c r="E373" s="20"/>
      <c r="F373" s="20"/>
      <c r="G373" s="67"/>
      <c r="H373" s="67"/>
      <c r="I373" s="69"/>
      <c r="J373" s="69"/>
    </row>
    <row r="374" spans="1:10" x14ac:dyDescent="0.25">
      <c r="A374" s="69"/>
      <c r="B374" s="20"/>
      <c r="C374" s="20"/>
      <c r="D374" s="70"/>
      <c r="E374" s="20"/>
      <c r="F374" s="20"/>
      <c r="G374" s="67"/>
      <c r="H374" s="67"/>
      <c r="I374" s="69"/>
      <c r="J374" s="69"/>
    </row>
    <row r="375" spans="1:10" x14ac:dyDescent="0.25">
      <c r="A375" s="69"/>
      <c r="B375" s="20"/>
      <c r="C375" s="20"/>
      <c r="D375" s="70"/>
      <c r="E375" s="20"/>
      <c r="F375" s="20"/>
      <c r="G375" s="67"/>
      <c r="H375" s="67"/>
      <c r="I375" s="69"/>
      <c r="J375" s="69"/>
    </row>
    <row r="376" spans="1:10" x14ac:dyDescent="0.25">
      <c r="A376" s="69"/>
      <c r="B376" s="20"/>
      <c r="C376" s="20"/>
      <c r="D376" s="70"/>
      <c r="E376" s="20"/>
      <c r="F376" s="20"/>
      <c r="G376" s="67"/>
      <c r="H376" s="67"/>
      <c r="I376" s="69"/>
      <c r="J376" s="69"/>
    </row>
    <row r="377" spans="1:10" x14ac:dyDescent="0.25">
      <c r="A377" s="69"/>
      <c r="B377" s="20"/>
      <c r="C377" s="20"/>
      <c r="D377" s="70"/>
      <c r="E377" s="20"/>
      <c r="F377" s="20"/>
      <c r="G377" s="67"/>
      <c r="H377" s="67"/>
      <c r="I377" s="69"/>
      <c r="J377" s="69"/>
    </row>
    <row r="378" spans="1:10" x14ac:dyDescent="0.25">
      <c r="A378" s="69"/>
      <c r="B378" s="20"/>
      <c r="C378" s="20"/>
      <c r="D378" s="70"/>
      <c r="E378" s="20"/>
      <c r="F378" s="20"/>
      <c r="G378" s="67"/>
      <c r="H378" s="67"/>
      <c r="I378" s="69"/>
      <c r="J378" s="69"/>
    </row>
    <row r="379" spans="1:10" x14ac:dyDescent="0.25">
      <c r="A379" s="69"/>
      <c r="B379" s="20"/>
      <c r="C379" s="20"/>
      <c r="D379" s="70"/>
      <c r="E379" s="20"/>
      <c r="F379" s="20"/>
      <c r="G379" s="67"/>
      <c r="H379" s="67"/>
      <c r="I379" s="69"/>
      <c r="J379" s="69"/>
    </row>
    <row r="380" spans="1:10" x14ac:dyDescent="0.25">
      <c r="A380" s="69"/>
      <c r="B380" s="20"/>
      <c r="C380" s="20"/>
      <c r="D380" s="70"/>
      <c r="E380" s="20"/>
      <c r="F380" s="20"/>
      <c r="G380" s="67"/>
      <c r="H380" s="67"/>
      <c r="I380" s="69"/>
      <c r="J380" s="69"/>
    </row>
    <row r="381" spans="1:10" x14ac:dyDescent="0.25">
      <c r="A381" s="69"/>
      <c r="B381" s="20"/>
      <c r="C381" s="20"/>
      <c r="D381" s="70"/>
      <c r="E381" s="20"/>
      <c r="F381" s="20"/>
      <c r="G381" s="67"/>
      <c r="H381" s="67"/>
      <c r="I381" s="69"/>
      <c r="J381" s="69"/>
    </row>
    <row r="382" spans="1:10" x14ac:dyDescent="0.25">
      <c r="A382" s="69"/>
      <c r="B382" s="20"/>
      <c r="C382" s="20"/>
      <c r="D382" s="70"/>
      <c r="E382" s="20"/>
      <c r="F382" s="20"/>
      <c r="G382" s="67"/>
      <c r="H382" s="67"/>
      <c r="I382" s="69"/>
      <c r="J382" s="69"/>
    </row>
    <row r="383" spans="1:10" x14ac:dyDescent="0.25">
      <c r="A383" s="69"/>
      <c r="B383" s="20"/>
      <c r="C383" s="20"/>
      <c r="D383" s="70"/>
      <c r="E383" s="20"/>
      <c r="F383" s="20"/>
      <c r="G383" s="67"/>
      <c r="H383" s="67"/>
      <c r="I383" s="69"/>
      <c r="J383" s="69"/>
    </row>
    <row r="384" spans="1:10" x14ac:dyDescent="0.25">
      <c r="A384" s="69"/>
      <c r="B384" s="20"/>
      <c r="C384" s="20"/>
      <c r="D384" s="70"/>
      <c r="E384" s="20"/>
      <c r="F384" s="20"/>
      <c r="G384" s="67"/>
      <c r="H384" s="67"/>
      <c r="I384" s="69"/>
      <c r="J384" s="69"/>
    </row>
    <row r="385" spans="1:10" x14ac:dyDescent="0.25">
      <c r="A385" s="69"/>
      <c r="B385" s="20"/>
      <c r="C385" s="20"/>
      <c r="D385" s="70"/>
      <c r="E385" s="20"/>
      <c r="F385" s="20"/>
      <c r="G385" s="67"/>
      <c r="H385" s="67"/>
      <c r="I385" s="69"/>
      <c r="J385" s="69"/>
    </row>
    <row r="386" spans="1:10" x14ac:dyDescent="0.25">
      <c r="A386" s="69"/>
      <c r="B386" s="20"/>
      <c r="C386" s="20"/>
      <c r="D386" s="70"/>
      <c r="E386" s="20"/>
      <c r="F386" s="20"/>
      <c r="G386" s="67"/>
      <c r="H386" s="67"/>
      <c r="I386" s="69"/>
      <c r="J386" s="69"/>
    </row>
    <row r="387" spans="1:10" x14ac:dyDescent="0.25">
      <c r="A387" s="69"/>
      <c r="B387" s="20"/>
      <c r="C387" s="20"/>
      <c r="D387" s="70"/>
      <c r="E387" s="20"/>
      <c r="F387" s="20"/>
      <c r="G387" s="67"/>
      <c r="H387" s="67"/>
      <c r="I387" s="69"/>
      <c r="J387" s="69"/>
    </row>
    <row r="388" spans="1:10" x14ac:dyDescent="0.25">
      <c r="A388" s="69"/>
      <c r="B388" s="20"/>
      <c r="C388" s="20"/>
      <c r="D388" s="70"/>
      <c r="E388" s="20"/>
      <c r="F388" s="20"/>
      <c r="G388" s="67"/>
      <c r="H388" s="67"/>
      <c r="I388" s="69"/>
      <c r="J388" s="69"/>
    </row>
    <row r="389" spans="1:10" x14ac:dyDescent="0.25">
      <c r="A389" s="69"/>
      <c r="B389" s="20"/>
      <c r="C389" s="20"/>
      <c r="D389" s="70"/>
      <c r="E389" s="20"/>
      <c r="F389" s="20"/>
      <c r="G389" s="67"/>
      <c r="H389" s="67"/>
      <c r="I389" s="69"/>
      <c r="J389" s="69"/>
    </row>
    <row r="390" spans="1:10" x14ac:dyDescent="0.25">
      <c r="A390" s="69"/>
      <c r="B390" s="20"/>
      <c r="C390" s="20"/>
      <c r="D390" s="70"/>
      <c r="E390" s="20"/>
      <c r="F390" s="20"/>
      <c r="G390" s="67"/>
      <c r="H390" s="67"/>
      <c r="I390" s="69"/>
      <c r="J390" s="69"/>
    </row>
    <row r="391" spans="1:10" x14ac:dyDescent="0.25">
      <c r="A391" s="69"/>
      <c r="B391" s="20"/>
      <c r="C391" s="20"/>
      <c r="D391" s="70"/>
      <c r="E391" s="20"/>
      <c r="F391" s="20"/>
      <c r="G391" s="67"/>
      <c r="H391" s="67"/>
      <c r="I391" s="69"/>
      <c r="J391" s="69"/>
    </row>
    <row r="392" spans="1:10" x14ac:dyDescent="0.25">
      <c r="A392" s="69"/>
      <c r="B392" s="20"/>
      <c r="C392" s="20"/>
      <c r="D392" s="70"/>
      <c r="E392" s="20"/>
      <c r="F392" s="20"/>
      <c r="G392" s="67"/>
      <c r="H392" s="67"/>
      <c r="I392" s="69"/>
      <c r="J392" s="69"/>
    </row>
    <row r="393" spans="1:10" x14ac:dyDescent="0.25">
      <c r="A393" s="69"/>
      <c r="B393" s="20"/>
      <c r="C393" s="20"/>
      <c r="D393" s="70"/>
      <c r="E393" s="20"/>
      <c r="F393" s="20"/>
      <c r="G393" s="67"/>
      <c r="H393" s="67"/>
      <c r="I393" s="69"/>
      <c r="J393" s="69"/>
    </row>
    <row r="394" spans="1:10" x14ac:dyDescent="0.25">
      <c r="A394" s="69"/>
      <c r="B394" s="20"/>
      <c r="C394" s="20"/>
      <c r="D394" s="70"/>
      <c r="E394" s="20"/>
      <c r="F394" s="20"/>
      <c r="G394" s="67"/>
      <c r="H394" s="67"/>
      <c r="I394" s="69"/>
      <c r="J394" s="69"/>
    </row>
    <row r="395" spans="1:10" x14ac:dyDescent="0.25">
      <c r="A395" s="69"/>
      <c r="B395" s="20"/>
      <c r="C395" s="20"/>
      <c r="D395" s="70"/>
      <c r="E395" s="20"/>
      <c r="F395" s="20"/>
      <c r="G395" s="67"/>
      <c r="H395" s="67"/>
      <c r="I395" s="69"/>
      <c r="J395" s="69"/>
    </row>
    <row r="396" spans="1:10" x14ac:dyDescent="0.25">
      <c r="A396" s="69"/>
      <c r="B396" s="20"/>
      <c r="C396" s="20"/>
      <c r="D396" s="70"/>
      <c r="E396" s="20"/>
      <c r="F396" s="20"/>
      <c r="G396" s="67"/>
      <c r="H396" s="67"/>
      <c r="I396" s="69"/>
      <c r="J396" s="69"/>
    </row>
    <row r="397" spans="1:10" x14ac:dyDescent="0.25">
      <c r="A397" s="69"/>
      <c r="B397" s="20"/>
      <c r="C397" s="20"/>
      <c r="D397" s="70"/>
      <c r="E397" s="20"/>
      <c r="F397" s="20"/>
      <c r="G397" s="67"/>
      <c r="H397" s="67"/>
      <c r="I397" s="69"/>
      <c r="J397" s="69"/>
    </row>
    <row r="398" spans="1:10" x14ac:dyDescent="0.25">
      <c r="A398" s="69"/>
      <c r="B398" s="20"/>
      <c r="C398" s="20"/>
      <c r="D398" s="70"/>
      <c r="E398" s="20"/>
      <c r="F398" s="20"/>
      <c r="G398" s="67"/>
      <c r="H398" s="67"/>
      <c r="I398" s="69"/>
      <c r="J398" s="69"/>
    </row>
    <row r="399" spans="1:10" x14ac:dyDescent="0.25">
      <c r="A399" s="69"/>
      <c r="B399" s="20"/>
      <c r="C399" s="20"/>
      <c r="D399" s="70"/>
      <c r="E399" s="20"/>
      <c r="F399" s="20"/>
      <c r="G399" s="67"/>
      <c r="H399" s="67"/>
      <c r="I399" s="69"/>
      <c r="J399" s="69"/>
    </row>
    <row r="400" spans="1:10" x14ac:dyDescent="0.25">
      <c r="A400" s="69"/>
      <c r="B400" s="20"/>
      <c r="C400" s="20"/>
      <c r="D400" s="70"/>
      <c r="E400" s="20"/>
      <c r="F400" s="20"/>
      <c r="G400" s="67"/>
      <c r="H400" s="67"/>
      <c r="I400" s="69"/>
      <c r="J400" s="69"/>
    </row>
    <row r="401" spans="1:10" x14ac:dyDescent="0.25">
      <c r="A401" s="69"/>
      <c r="B401" s="20"/>
      <c r="C401" s="20"/>
      <c r="D401" s="70"/>
      <c r="E401" s="20"/>
      <c r="F401" s="20"/>
      <c r="G401" s="67"/>
      <c r="H401" s="67"/>
      <c r="I401" s="69"/>
      <c r="J401" s="69"/>
    </row>
    <row r="402" spans="1:10" x14ac:dyDescent="0.25">
      <c r="A402" s="69"/>
      <c r="B402" s="20"/>
      <c r="C402" s="20"/>
      <c r="D402" s="70"/>
      <c r="E402" s="20"/>
      <c r="F402" s="20"/>
      <c r="G402" s="67"/>
      <c r="H402" s="67"/>
      <c r="I402" s="69"/>
      <c r="J402" s="69"/>
    </row>
    <row r="403" spans="1:10" x14ac:dyDescent="0.25">
      <c r="A403" s="69"/>
      <c r="B403" s="20"/>
      <c r="C403" s="20"/>
      <c r="D403" s="70"/>
      <c r="E403" s="20"/>
      <c r="F403" s="20"/>
      <c r="G403" s="67"/>
      <c r="H403" s="67"/>
      <c r="I403" s="69"/>
      <c r="J403" s="69"/>
    </row>
    <row r="404" spans="1:10" x14ac:dyDescent="0.25">
      <c r="A404" s="69"/>
      <c r="B404" s="20"/>
      <c r="C404" s="20"/>
      <c r="D404" s="70"/>
      <c r="E404" s="20"/>
      <c r="F404" s="20"/>
      <c r="G404" s="67"/>
      <c r="H404" s="67"/>
      <c r="I404" s="69"/>
      <c r="J404" s="69"/>
    </row>
    <row r="405" spans="1:10" x14ac:dyDescent="0.25">
      <c r="A405" s="69"/>
      <c r="B405" s="20"/>
      <c r="C405" s="20"/>
      <c r="D405" s="70"/>
      <c r="E405" s="20"/>
      <c r="F405" s="20"/>
      <c r="G405" s="67"/>
      <c r="H405" s="67"/>
      <c r="I405" s="69"/>
      <c r="J405" s="69"/>
    </row>
    <row r="406" spans="1:10" x14ac:dyDescent="0.25">
      <c r="A406" s="69"/>
      <c r="B406" s="20"/>
      <c r="C406" s="20"/>
      <c r="D406" s="70"/>
      <c r="E406" s="20"/>
      <c r="F406" s="20"/>
      <c r="G406" s="67"/>
      <c r="H406" s="67"/>
      <c r="I406" s="69"/>
      <c r="J406" s="69"/>
    </row>
    <row r="407" spans="1:10" x14ac:dyDescent="0.25">
      <c r="A407" s="69"/>
      <c r="B407" s="20"/>
      <c r="C407" s="20"/>
      <c r="D407" s="70"/>
      <c r="E407" s="20"/>
      <c r="F407" s="20"/>
      <c r="G407" s="67"/>
      <c r="H407" s="67"/>
      <c r="I407" s="69"/>
      <c r="J407" s="69"/>
    </row>
    <row r="408" spans="1:10" x14ac:dyDescent="0.25">
      <c r="A408" s="69"/>
      <c r="B408" s="20"/>
      <c r="C408" s="20"/>
      <c r="D408" s="70"/>
      <c r="E408" s="20"/>
      <c r="F408" s="20"/>
      <c r="G408" s="67"/>
      <c r="H408" s="67"/>
      <c r="I408" s="69"/>
      <c r="J408" s="69"/>
    </row>
    <row r="409" spans="1:10" x14ac:dyDescent="0.25">
      <c r="A409" s="69"/>
      <c r="B409" s="20"/>
      <c r="C409" s="20"/>
      <c r="D409" s="70"/>
      <c r="E409" s="20"/>
      <c r="F409" s="20"/>
      <c r="G409" s="67"/>
      <c r="H409" s="67"/>
      <c r="I409" s="69"/>
      <c r="J409" s="69"/>
    </row>
    <row r="410" spans="1:10" x14ac:dyDescent="0.25">
      <c r="A410" s="69"/>
      <c r="B410" s="20"/>
      <c r="C410" s="20"/>
      <c r="D410" s="70"/>
      <c r="E410" s="20"/>
      <c r="F410" s="20"/>
      <c r="G410" s="67"/>
      <c r="H410" s="67"/>
      <c r="I410" s="69"/>
      <c r="J410" s="69"/>
    </row>
    <row r="411" spans="1:10" x14ac:dyDescent="0.25">
      <c r="A411" s="69"/>
      <c r="B411" s="20"/>
      <c r="C411" s="20"/>
      <c r="D411" s="70"/>
      <c r="E411" s="20"/>
      <c r="F411" s="20"/>
      <c r="G411" s="67"/>
      <c r="H411" s="67"/>
      <c r="I411" s="69"/>
      <c r="J411" s="69"/>
    </row>
    <row r="412" spans="1:10" x14ac:dyDescent="0.25">
      <c r="A412" s="69"/>
      <c r="B412" s="20"/>
      <c r="C412" s="20"/>
      <c r="D412" s="70"/>
      <c r="E412" s="20"/>
      <c r="F412" s="20"/>
      <c r="G412" s="67"/>
      <c r="H412" s="67"/>
      <c r="I412" s="69"/>
      <c r="J412" s="69"/>
    </row>
    <row r="413" spans="1:10" x14ac:dyDescent="0.25">
      <c r="A413" s="69"/>
      <c r="B413" s="20"/>
      <c r="C413" s="20"/>
      <c r="D413" s="70"/>
      <c r="E413" s="20"/>
      <c r="F413" s="20"/>
      <c r="G413" s="67"/>
      <c r="H413" s="67"/>
      <c r="I413" s="69"/>
      <c r="J413" s="69"/>
    </row>
    <row r="414" spans="1:10" x14ac:dyDescent="0.25">
      <c r="A414" s="69"/>
      <c r="B414" s="20"/>
      <c r="C414" s="20"/>
      <c r="D414" s="70"/>
      <c r="E414" s="20"/>
      <c r="F414" s="20"/>
      <c r="G414" s="67"/>
      <c r="H414" s="67"/>
      <c r="I414" s="69"/>
      <c r="J414" s="69"/>
    </row>
    <row r="415" spans="1:10" x14ac:dyDescent="0.25">
      <c r="A415" s="69"/>
      <c r="B415" s="20"/>
      <c r="C415" s="20"/>
      <c r="D415" s="70"/>
      <c r="E415" s="20"/>
      <c r="F415" s="20"/>
      <c r="G415" s="67"/>
      <c r="H415" s="67"/>
      <c r="I415" s="69"/>
      <c r="J415" s="69"/>
    </row>
    <row r="416" spans="1:10" x14ac:dyDescent="0.25">
      <c r="A416" s="69"/>
      <c r="B416" s="20"/>
      <c r="C416" s="20"/>
      <c r="D416" s="70"/>
      <c r="E416" s="20"/>
      <c r="F416" s="20"/>
      <c r="G416" s="67"/>
      <c r="H416" s="67"/>
      <c r="I416" s="69"/>
      <c r="J416" s="69"/>
    </row>
    <row r="417" spans="1:10" x14ac:dyDescent="0.25">
      <c r="A417" s="69"/>
      <c r="B417" s="20"/>
      <c r="C417" s="20"/>
      <c r="D417" s="70"/>
      <c r="E417" s="20"/>
      <c r="F417" s="20"/>
      <c r="G417" s="67"/>
      <c r="H417" s="67"/>
      <c r="I417" s="69"/>
      <c r="J417" s="69"/>
    </row>
    <row r="418" spans="1:10" x14ac:dyDescent="0.25">
      <c r="A418" s="69"/>
      <c r="B418" s="20"/>
      <c r="C418" s="20"/>
      <c r="D418" s="70"/>
      <c r="E418" s="20"/>
      <c r="F418" s="20"/>
      <c r="G418" s="67"/>
      <c r="H418" s="67"/>
      <c r="I418" s="69"/>
      <c r="J418" s="69"/>
    </row>
    <row r="419" spans="1:10" x14ac:dyDescent="0.25">
      <c r="A419" s="69"/>
      <c r="B419" s="20"/>
      <c r="C419" s="20"/>
      <c r="D419" s="70"/>
      <c r="E419" s="20"/>
      <c r="F419" s="20"/>
      <c r="G419" s="67"/>
      <c r="H419" s="67"/>
      <c r="I419" s="69"/>
      <c r="J419" s="69"/>
    </row>
    <row r="420" spans="1:10" x14ac:dyDescent="0.25">
      <c r="A420" s="69"/>
      <c r="B420" s="20"/>
      <c r="C420" s="20"/>
      <c r="D420" s="70"/>
      <c r="E420" s="20"/>
      <c r="F420" s="20"/>
      <c r="G420" s="67"/>
      <c r="H420" s="67"/>
      <c r="I420" s="69"/>
      <c r="J420" s="69"/>
    </row>
    <row r="421" spans="1:10" x14ac:dyDescent="0.25">
      <c r="A421" s="69"/>
      <c r="B421" s="20"/>
      <c r="C421" s="20"/>
      <c r="D421" s="70"/>
      <c r="E421" s="20"/>
      <c r="F421" s="20"/>
      <c r="G421" s="67"/>
      <c r="H421" s="67"/>
      <c r="I421" s="69"/>
      <c r="J421" s="69"/>
    </row>
    <row r="422" spans="1:10" x14ac:dyDescent="0.25">
      <c r="A422" s="69"/>
      <c r="B422" s="20"/>
      <c r="C422" s="20"/>
      <c r="D422" s="70"/>
      <c r="E422" s="20"/>
      <c r="F422" s="20"/>
      <c r="G422" s="67"/>
      <c r="H422" s="67"/>
      <c r="I422" s="69"/>
      <c r="J422" s="69"/>
    </row>
    <row r="423" spans="1:10" x14ac:dyDescent="0.25">
      <c r="A423" s="69"/>
      <c r="B423" s="20"/>
      <c r="C423" s="20"/>
      <c r="D423" s="70"/>
      <c r="E423" s="20"/>
      <c r="F423" s="20"/>
      <c r="G423" s="67"/>
      <c r="H423" s="67"/>
      <c r="I423" s="69"/>
      <c r="J423" s="69"/>
    </row>
    <row r="424" spans="1:10" x14ac:dyDescent="0.25">
      <c r="A424" s="69"/>
      <c r="B424" s="20"/>
      <c r="C424" s="20"/>
      <c r="D424" s="70"/>
      <c r="E424" s="20"/>
      <c r="F424" s="20"/>
      <c r="G424" s="67"/>
      <c r="H424" s="67"/>
      <c r="I424" s="69"/>
      <c r="J424" s="69"/>
    </row>
    <row r="425" spans="1:10" x14ac:dyDescent="0.25">
      <c r="A425" s="69"/>
      <c r="B425" s="20"/>
      <c r="C425" s="20"/>
      <c r="D425" s="70"/>
      <c r="E425" s="20"/>
      <c r="F425" s="20"/>
      <c r="G425" s="67"/>
      <c r="H425" s="67"/>
      <c r="I425" s="69"/>
      <c r="J425" s="69"/>
    </row>
    <row r="426" spans="1:10" x14ac:dyDescent="0.25">
      <c r="A426" s="69"/>
      <c r="B426" s="20"/>
      <c r="C426" s="20"/>
      <c r="D426" s="70"/>
      <c r="E426" s="20"/>
      <c r="F426" s="20"/>
      <c r="G426" s="67"/>
      <c r="H426" s="67"/>
      <c r="I426" s="69"/>
      <c r="J426" s="69"/>
    </row>
    <row r="427" spans="1:10" x14ac:dyDescent="0.25">
      <c r="A427" s="69"/>
      <c r="B427" s="20"/>
      <c r="C427" s="20"/>
      <c r="D427" s="70"/>
      <c r="E427" s="20"/>
      <c r="F427" s="20"/>
      <c r="G427" s="67"/>
      <c r="H427" s="67"/>
      <c r="I427" s="69"/>
      <c r="J427" s="69"/>
    </row>
    <row r="428" spans="1:10" x14ac:dyDescent="0.25">
      <c r="A428" s="69"/>
      <c r="B428" s="20"/>
      <c r="C428" s="20"/>
      <c r="D428" s="70"/>
      <c r="E428" s="20"/>
      <c r="F428" s="20"/>
      <c r="G428" s="67"/>
      <c r="H428" s="67"/>
      <c r="I428" s="69"/>
      <c r="J428" s="69"/>
    </row>
    <row r="429" spans="1:10" x14ac:dyDescent="0.25">
      <c r="A429" s="69"/>
      <c r="B429" s="20"/>
      <c r="C429" s="20"/>
      <c r="D429" s="70"/>
      <c r="E429" s="20"/>
      <c r="F429" s="20"/>
      <c r="G429" s="67"/>
      <c r="H429" s="67"/>
      <c r="I429" s="69"/>
      <c r="J429" s="69"/>
    </row>
    <row r="430" spans="1:10" x14ac:dyDescent="0.25">
      <c r="A430" s="69"/>
      <c r="B430" s="20"/>
      <c r="C430" s="20"/>
      <c r="D430" s="70"/>
      <c r="E430" s="20"/>
      <c r="F430" s="20"/>
      <c r="G430" s="67"/>
      <c r="H430" s="67"/>
      <c r="I430" s="69"/>
      <c r="J430" s="69"/>
    </row>
    <row r="431" spans="1:10" x14ac:dyDescent="0.25">
      <c r="A431" s="69"/>
      <c r="B431" s="20"/>
      <c r="C431" s="20"/>
      <c r="D431" s="70"/>
      <c r="E431" s="20"/>
      <c r="F431" s="20"/>
      <c r="G431" s="67"/>
      <c r="H431" s="67"/>
      <c r="I431" s="69"/>
      <c r="J431" s="69"/>
    </row>
    <row r="432" spans="1:10" x14ac:dyDescent="0.25">
      <c r="A432" s="69"/>
      <c r="B432" s="20"/>
      <c r="C432" s="20"/>
      <c r="D432" s="70"/>
      <c r="E432" s="20"/>
      <c r="F432" s="20"/>
      <c r="G432" s="67"/>
      <c r="H432" s="67"/>
      <c r="I432" s="69"/>
      <c r="J432" s="69"/>
    </row>
    <row r="433" spans="1:10" x14ac:dyDescent="0.25">
      <c r="A433" s="69"/>
      <c r="B433" s="20"/>
      <c r="C433" s="20"/>
      <c r="D433" s="70"/>
      <c r="E433" s="20"/>
      <c r="F433" s="20"/>
      <c r="G433" s="67"/>
      <c r="H433" s="67"/>
      <c r="I433" s="69"/>
      <c r="J433" s="69"/>
    </row>
    <row r="434" spans="1:10" x14ac:dyDescent="0.25">
      <c r="A434" s="69"/>
      <c r="B434" s="20"/>
      <c r="C434" s="20"/>
      <c r="D434" s="70"/>
      <c r="E434" s="20"/>
      <c r="F434" s="20"/>
      <c r="G434" s="67"/>
      <c r="H434" s="67"/>
      <c r="I434" s="69"/>
      <c r="J434" s="69"/>
    </row>
    <row r="435" spans="1:10" x14ac:dyDescent="0.25">
      <c r="A435" s="69"/>
      <c r="B435" s="20"/>
      <c r="C435" s="20"/>
      <c r="D435" s="70"/>
      <c r="E435" s="20"/>
      <c r="F435" s="20"/>
      <c r="G435" s="67"/>
      <c r="H435" s="67"/>
      <c r="I435" s="69"/>
      <c r="J435" s="69"/>
    </row>
    <row r="436" spans="1:10" x14ac:dyDescent="0.25">
      <c r="A436" s="69"/>
      <c r="B436" s="20"/>
      <c r="C436" s="20"/>
      <c r="D436" s="70"/>
      <c r="E436" s="20"/>
      <c r="F436" s="20"/>
      <c r="G436" s="67"/>
      <c r="H436" s="67"/>
      <c r="I436" s="69"/>
      <c r="J436" s="69"/>
    </row>
    <row r="437" spans="1:10" x14ac:dyDescent="0.25">
      <c r="A437" s="69"/>
      <c r="B437" s="20"/>
      <c r="C437" s="20"/>
      <c r="D437" s="70"/>
      <c r="E437" s="20"/>
      <c r="F437" s="20"/>
      <c r="G437" s="67"/>
      <c r="H437" s="67"/>
      <c r="I437" s="69"/>
      <c r="J437" s="69"/>
    </row>
    <row r="438" spans="1:10" x14ac:dyDescent="0.25">
      <c r="A438" s="69"/>
      <c r="B438" s="20"/>
      <c r="C438" s="20"/>
      <c r="D438" s="70"/>
      <c r="E438" s="20"/>
      <c r="F438" s="20"/>
      <c r="G438" s="67"/>
      <c r="H438" s="67"/>
      <c r="I438" s="69"/>
      <c r="J438" s="69"/>
    </row>
    <row r="439" spans="1:10" x14ac:dyDescent="0.25">
      <c r="A439" s="69"/>
      <c r="B439" s="20"/>
      <c r="C439" s="20"/>
      <c r="D439" s="70"/>
      <c r="E439" s="20"/>
      <c r="F439" s="20"/>
      <c r="G439" s="67"/>
      <c r="H439" s="67"/>
      <c r="I439" s="69"/>
      <c r="J439" s="69"/>
    </row>
    <row r="440" spans="1:10" x14ac:dyDescent="0.25">
      <c r="A440" s="69"/>
      <c r="B440" s="20"/>
      <c r="C440" s="20"/>
      <c r="D440" s="70"/>
      <c r="E440" s="20"/>
      <c r="F440" s="20"/>
      <c r="G440" s="67"/>
      <c r="H440" s="67"/>
      <c r="I440" s="69"/>
      <c r="J440" s="69"/>
    </row>
    <row r="441" spans="1:10" x14ac:dyDescent="0.25">
      <c r="A441" s="69"/>
      <c r="B441" s="20"/>
      <c r="C441" s="20"/>
      <c r="D441" s="70"/>
      <c r="E441" s="20"/>
      <c r="F441" s="20"/>
      <c r="G441" s="67"/>
      <c r="H441" s="67"/>
      <c r="I441" s="69"/>
      <c r="J441" s="69"/>
    </row>
    <row r="442" spans="1:10" x14ac:dyDescent="0.25">
      <c r="A442" s="69"/>
      <c r="B442" s="20"/>
      <c r="C442" s="20"/>
      <c r="D442" s="70"/>
      <c r="E442" s="20"/>
      <c r="F442" s="20"/>
      <c r="G442" s="67"/>
      <c r="H442" s="67"/>
      <c r="I442" s="69"/>
      <c r="J442" s="69"/>
    </row>
    <row r="443" spans="1:10" x14ac:dyDescent="0.25">
      <c r="A443" s="69"/>
      <c r="B443" s="20"/>
      <c r="C443" s="20"/>
      <c r="D443" s="70"/>
      <c r="E443" s="20"/>
      <c r="F443" s="20"/>
      <c r="G443" s="67"/>
      <c r="H443" s="67"/>
      <c r="I443" s="69"/>
      <c r="J443" s="69"/>
    </row>
    <row r="444" spans="1:10" x14ac:dyDescent="0.25">
      <c r="A444" s="69"/>
      <c r="B444" s="20"/>
      <c r="C444" s="20"/>
      <c r="D444" s="70"/>
      <c r="E444" s="20"/>
      <c r="F444" s="20"/>
      <c r="G444" s="67"/>
      <c r="H444" s="67"/>
      <c r="I444" s="69"/>
      <c r="J444" s="69"/>
    </row>
    <row r="445" spans="1:10" x14ac:dyDescent="0.25">
      <c r="A445" s="69"/>
      <c r="B445" s="20"/>
      <c r="C445" s="20"/>
      <c r="D445" s="70"/>
      <c r="E445" s="20"/>
      <c r="F445" s="20"/>
      <c r="G445" s="67"/>
      <c r="H445" s="67"/>
      <c r="I445" s="69"/>
      <c r="J445" s="69"/>
    </row>
    <row r="446" spans="1:10" x14ac:dyDescent="0.25">
      <c r="A446" s="69"/>
      <c r="B446" s="20"/>
      <c r="C446" s="20"/>
      <c r="D446" s="70"/>
      <c r="E446" s="20"/>
      <c r="F446" s="20"/>
      <c r="G446" s="67"/>
      <c r="H446" s="67"/>
      <c r="I446" s="69"/>
      <c r="J446" s="69"/>
    </row>
    <row r="447" spans="1:10" x14ac:dyDescent="0.25">
      <c r="A447" s="69"/>
      <c r="B447" s="20"/>
      <c r="C447" s="20"/>
      <c r="D447" s="70"/>
      <c r="E447" s="20"/>
      <c r="F447" s="20"/>
      <c r="G447" s="67"/>
      <c r="H447" s="67"/>
      <c r="I447" s="69"/>
      <c r="J447" s="69"/>
    </row>
    <row r="448" spans="1:10" x14ac:dyDescent="0.25">
      <c r="A448" s="69"/>
      <c r="B448" s="20"/>
      <c r="C448" s="20"/>
      <c r="D448" s="70"/>
      <c r="E448" s="20"/>
      <c r="F448" s="20"/>
      <c r="G448" s="67"/>
      <c r="H448" s="67"/>
      <c r="I448" s="69"/>
      <c r="J448" s="69"/>
    </row>
    <row r="449" spans="1:10" x14ac:dyDescent="0.25">
      <c r="A449" s="69"/>
      <c r="B449" s="20"/>
      <c r="C449" s="20"/>
      <c r="D449" s="70"/>
      <c r="E449" s="20"/>
      <c r="F449" s="20"/>
      <c r="G449" s="67"/>
      <c r="H449" s="67"/>
      <c r="I449" s="69"/>
      <c r="J449" s="69"/>
    </row>
    <row r="450" spans="1:10" x14ac:dyDescent="0.25">
      <c r="A450" s="69"/>
      <c r="B450" s="20"/>
      <c r="C450" s="20"/>
      <c r="D450" s="70"/>
      <c r="E450" s="20"/>
      <c r="F450" s="20"/>
      <c r="G450" s="67"/>
      <c r="H450" s="67"/>
      <c r="I450" s="69"/>
      <c r="J450" s="69"/>
    </row>
    <row r="451" spans="1:10" x14ac:dyDescent="0.25">
      <c r="A451" s="69"/>
      <c r="B451" s="20"/>
      <c r="C451" s="20"/>
      <c r="D451" s="70"/>
      <c r="E451" s="20"/>
      <c r="F451" s="20"/>
      <c r="G451" s="67"/>
      <c r="H451" s="67"/>
      <c r="I451" s="69"/>
      <c r="J451" s="69"/>
    </row>
    <row r="452" spans="1:10" x14ac:dyDescent="0.25">
      <c r="A452" s="69"/>
      <c r="B452" s="20"/>
      <c r="C452" s="20"/>
      <c r="D452" s="70"/>
      <c r="E452" s="20"/>
      <c r="F452" s="20"/>
      <c r="G452" s="67"/>
      <c r="H452" s="67"/>
      <c r="I452" s="69"/>
      <c r="J452" s="69"/>
    </row>
    <row r="453" spans="1:10" x14ac:dyDescent="0.25">
      <c r="A453" s="69"/>
      <c r="B453" s="20"/>
      <c r="C453" s="20"/>
      <c r="D453" s="70"/>
      <c r="E453" s="20"/>
      <c r="F453" s="20"/>
      <c r="G453" s="67"/>
      <c r="H453" s="67"/>
      <c r="I453" s="69"/>
      <c r="J453" s="69"/>
    </row>
    <row r="454" spans="1:10" x14ac:dyDescent="0.25">
      <c r="A454" s="69"/>
      <c r="B454" s="20"/>
      <c r="C454" s="20"/>
      <c r="D454" s="70"/>
      <c r="E454" s="20"/>
      <c r="F454" s="20"/>
      <c r="G454" s="67"/>
      <c r="H454" s="67"/>
      <c r="I454" s="69"/>
      <c r="J454" s="69"/>
    </row>
    <row r="455" spans="1:10" x14ac:dyDescent="0.25">
      <c r="A455" s="69"/>
      <c r="B455" s="20"/>
      <c r="C455" s="20"/>
      <c r="D455" s="70"/>
      <c r="E455" s="20"/>
      <c r="F455" s="20"/>
      <c r="G455" s="67"/>
      <c r="H455" s="67"/>
      <c r="I455" s="69"/>
      <c r="J455" s="69"/>
    </row>
    <row r="456" spans="1:10" x14ac:dyDescent="0.25">
      <c r="A456" s="69"/>
      <c r="B456" s="20"/>
      <c r="C456" s="20"/>
      <c r="D456" s="70"/>
      <c r="E456" s="20"/>
      <c r="F456" s="20"/>
      <c r="G456" s="67"/>
      <c r="H456" s="67"/>
      <c r="I456" s="69"/>
      <c r="J456" s="69"/>
    </row>
    <row r="457" spans="1:10" x14ac:dyDescent="0.25">
      <c r="A457" s="69"/>
      <c r="B457" s="20"/>
      <c r="C457" s="20"/>
      <c r="D457" s="70"/>
      <c r="E457" s="20"/>
      <c r="F457" s="20"/>
      <c r="G457" s="67"/>
      <c r="H457" s="67"/>
      <c r="I457" s="69"/>
      <c r="J457" s="69"/>
    </row>
    <row r="458" spans="1:10" x14ac:dyDescent="0.25">
      <c r="A458" s="69"/>
      <c r="B458" s="20"/>
      <c r="C458" s="20"/>
      <c r="D458" s="70"/>
      <c r="E458" s="20"/>
      <c r="F458" s="20"/>
      <c r="G458" s="67"/>
      <c r="H458" s="67"/>
      <c r="I458" s="69"/>
      <c r="J458" s="69"/>
    </row>
    <row r="459" spans="1:10" x14ac:dyDescent="0.25">
      <c r="A459" s="69"/>
      <c r="B459" s="20"/>
      <c r="C459" s="20"/>
      <c r="D459" s="70"/>
      <c r="E459" s="20"/>
      <c r="F459" s="20"/>
      <c r="G459" s="67"/>
      <c r="H459" s="67"/>
      <c r="I459" s="69"/>
      <c r="J459" s="69"/>
    </row>
    <row r="460" spans="1:10" x14ac:dyDescent="0.25">
      <c r="A460" s="69"/>
      <c r="B460" s="20"/>
      <c r="C460" s="20"/>
      <c r="D460" s="70"/>
      <c r="E460" s="20"/>
      <c r="F460" s="20"/>
      <c r="G460" s="67"/>
      <c r="H460" s="67"/>
      <c r="I460" s="69"/>
      <c r="J460" s="69"/>
    </row>
    <row r="461" spans="1:10" x14ac:dyDescent="0.25">
      <c r="A461" s="69"/>
      <c r="B461" s="20"/>
      <c r="C461" s="20"/>
      <c r="D461" s="70"/>
      <c r="E461" s="20"/>
      <c r="F461" s="20"/>
      <c r="G461" s="67"/>
      <c r="H461" s="67"/>
      <c r="I461" s="69"/>
      <c r="J461" s="69"/>
    </row>
    <row r="462" spans="1:10" x14ac:dyDescent="0.25">
      <c r="A462" s="69"/>
      <c r="B462" s="20"/>
      <c r="C462" s="20"/>
      <c r="D462" s="70"/>
      <c r="E462" s="20"/>
      <c r="F462" s="20"/>
      <c r="G462" s="67"/>
      <c r="H462" s="67"/>
      <c r="I462" s="69"/>
      <c r="J462" s="69"/>
    </row>
    <row r="463" spans="1:10" x14ac:dyDescent="0.25">
      <c r="A463" s="69"/>
      <c r="B463" s="20"/>
      <c r="C463" s="20"/>
      <c r="D463" s="70"/>
      <c r="E463" s="20"/>
      <c r="F463" s="20"/>
      <c r="G463" s="67"/>
      <c r="H463" s="67"/>
      <c r="I463" s="69"/>
      <c r="J463" s="69"/>
    </row>
    <row r="464" spans="1:10" x14ac:dyDescent="0.25">
      <c r="A464" s="69"/>
      <c r="B464" s="20"/>
      <c r="C464" s="20"/>
      <c r="D464" s="70"/>
      <c r="E464" s="20"/>
      <c r="F464" s="20"/>
      <c r="G464" s="67"/>
      <c r="H464" s="67"/>
      <c r="I464" s="69"/>
      <c r="J464" s="69"/>
    </row>
    <row r="465" spans="1:10" x14ac:dyDescent="0.25">
      <c r="A465" s="69"/>
      <c r="B465" s="20"/>
      <c r="C465" s="20"/>
      <c r="D465" s="70"/>
      <c r="E465" s="20"/>
      <c r="F465" s="20"/>
      <c r="G465" s="67"/>
      <c r="H465" s="67"/>
      <c r="I465" s="69"/>
      <c r="J465" s="69"/>
    </row>
    <row r="466" spans="1:10" x14ac:dyDescent="0.25">
      <c r="A466" s="69"/>
      <c r="B466" s="20"/>
      <c r="C466" s="20"/>
      <c r="D466" s="70"/>
      <c r="E466" s="20"/>
      <c r="F466" s="20"/>
      <c r="G466" s="67"/>
      <c r="H466" s="67"/>
      <c r="I466" s="69"/>
      <c r="J466" s="69"/>
    </row>
    <row r="467" spans="1:10" x14ac:dyDescent="0.25">
      <c r="A467" s="69"/>
      <c r="B467" s="20"/>
      <c r="C467" s="20"/>
      <c r="D467" s="70"/>
      <c r="E467" s="20"/>
      <c r="F467" s="20"/>
      <c r="G467" s="67"/>
      <c r="H467" s="67"/>
      <c r="I467" s="69"/>
      <c r="J467" s="69"/>
    </row>
    <row r="468" spans="1:10" x14ac:dyDescent="0.25">
      <c r="A468" s="69"/>
      <c r="B468" s="20"/>
      <c r="C468" s="20"/>
      <c r="D468" s="70"/>
      <c r="E468" s="20"/>
      <c r="F468" s="20"/>
      <c r="G468" s="67"/>
      <c r="H468" s="67"/>
      <c r="I468" s="69"/>
      <c r="J468" s="69"/>
    </row>
    <row r="469" spans="1:10" x14ac:dyDescent="0.25">
      <c r="A469" s="69"/>
      <c r="B469" s="20"/>
      <c r="C469" s="20"/>
      <c r="D469" s="70"/>
      <c r="E469" s="20"/>
      <c r="F469" s="20"/>
      <c r="G469" s="67"/>
      <c r="H469" s="67"/>
      <c r="I469" s="69"/>
      <c r="J469" s="69"/>
    </row>
    <row r="470" spans="1:10" x14ac:dyDescent="0.25">
      <c r="A470" s="69"/>
      <c r="B470" s="20"/>
      <c r="C470" s="20"/>
      <c r="D470" s="70"/>
      <c r="E470" s="20"/>
      <c r="F470" s="20"/>
      <c r="G470" s="67"/>
      <c r="H470" s="67"/>
      <c r="I470" s="69"/>
      <c r="J470" s="69"/>
    </row>
    <row r="471" spans="1:10" x14ac:dyDescent="0.25">
      <c r="A471" s="69"/>
      <c r="B471" s="20"/>
      <c r="C471" s="20"/>
      <c r="D471" s="70"/>
      <c r="E471" s="20"/>
      <c r="F471" s="20"/>
      <c r="G471" s="67"/>
      <c r="H471" s="67"/>
      <c r="I471" s="69"/>
      <c r="J471" s="69"/>
    </row>
    <row r="472" spans="1:10" x14ac:dyDescent="0.25">
      <c r="A472" s="69"/>
      <c r="B472" s="20"/>
      <c r="C472" s="20"/>
      <c r="D472" s="70"/>
      <c r="E472" s="20"/>
      <c r="F472" s="20"/>
      <c r="G472" s="67"/>
      <c r="H472" s="67"/>
      <c r="I472" s="69"/>
      <c r="J472" s="69"/>
    </row>
    <row r="473" spans="1:10" x14ac:dyDescent="0.25">
      <c r="A473" s="69"/>
      <c r="B473" s="20"/>
      <c r="C473" s="20"/>
      <c r="D473" s="70"/>
      <c r="E473" s="20"/>
      <c r="F473" s="20"/>
      <c r="G473" s="67"/>
      <c r="H473" s="67"/>
      <c r="I473" s="69"/>
      <c r="J473" s="69"/>
    </row>
    <row r="474" spans="1:10" x14ac:dyDescent="0.25">
      <c r="A474" s="69"/>
      <c r="B474" s="20"/>
      <c r="C474" s="20"/>
      <c r="D474" s="70"/>
      <c r="E474" s="20"/>
      <c r="F474" s="20"/>
      <c r="G474" s="67"/>
      <c r="H474" s="67"/>
      <c r="I474" s="69"/>
      <c r="J474" s="69"/>
    </row>
    <row r="475" spans="1:10" x14ac:dyDescent="0.25">
      <c r="A475" s="69"/>
      <c r="B475" s="20"/>
      <c r="C475" s="20"/>
      <c r="D475" s="70"/>
      <c r="E475" s="20"/>
      <c r="F475" s="20"/>
      <c r="G475" s="67"/>
      <c r="H475" s="67"/>
      <c r="I475" s="69"/>
      <c r="J475" s="69"/>
    </row>
    <row r="476" spans="1:10" x14ac:dyDescent="0.25">
      <c r="A476" s="69"/>
      <c r="B476" s="20"/>
      <c r="C476" s="20"/>
      <c r="D476" s="70"/>
      <c r="E476" s="20"/>
      <c r="F476" s="20"/>
      <c r="G476" s="67"/>
      <c r="H476" s="67"/>
      <c r="I476" s="69"/>
      <c r="J476" s="69"/>
    </row>
    <row r="477" spans="1:10" x14ac:dyDescent="0.25">
      <c r="A477" s="69"/>
      <c r="B477" s="20"/>
      <c r="C477" s="20"/>
      <c r="D477" s="70"/>
      <c r="E477" s="20"/>
      <c r="F477" s="20"/>
      <c r="G477" s="67"/>
      <c r="H477" s="67"/>
      <c r="I477" s="69"/>
      <c r="J477" s="69"/>
    </row>
    <row r="478" spans="1:10" x14ac:dyDescent="0.25">
      <c r="A478" s="69"/>
      <c r="B478" s="20"/>
      <c r="C478" s="20"/>
      <c r="D478" s="70"/>
      <c r="E478" s="20"/>
      <c r="F478" s="20"/>
      <c r="G478" s="67"/>
      <c r="H478" s="67"/>
      <c r="I478" s="69"/>
      <c r="J478" s="69"/>
    </row>
    <row r="479" spans="1:10" x14ac:dyDescent="0.25">
      <c r="A479" s="69"/>
      <c r="B479" s="20"/>
      <c r="C479" s="20"/>
      <c r="D479" s="70"/>
      <c r="E479" s="20"/>
      <c r="F479" s="20"/>
      <c r="G479" s="67"/>
      <c r="H479" s="67"/>
      <c r="I479" s="69"/>
      <c r="J479" s="69"/>
    </row>
    <row r="480" spans="1:10" x14ac:dyDescent="0.25">
      <c r="A480" s="69"/>
      <c r="B480" s="20"/>
      <c r="C480" s="20"/>
      <c r="D480" s="70"/>
      <c r="E480" s="20"/>
      <c r="F480" s="20"/>
      <c r="G480" s="67"/>
      <c r="H480" s="67"/>
      <c r="I480" s="69"/>
      <c r="J480" s="69"/>
    </row>
    <row r="481" spans="1:10" x14ac:dyDescent="0.25">
      <c r="A481" s="69"/>
      <c r="B481" s="20"/>
      <c r="C481" s="20"/>
      <c r="D481" s="70"/>
      <c r="E481" s="20"/>
      <c r="F481" s="20"/>
      <c r="G481" s="67"/>
      <c r="H481" s="67"/>
      <c r="I481" s="69"/>
      <c r="J481" s="69"/>
    </row>
    <row r="482" spans="1:10" x14ac:dyDescent="0.25">
      <c r="A482" s="69"/>
      <c r="B482" s="20"/>
      <c r="C482" s="20"/>
      <c r="D482" s="70"/>
      <c r="E482" s="20"/>
      <c r="F482" s="20"/>
      <c r="G482" s="67"/>
      <c r="H482" s="67"/>
      <c r="I482" s="69"/>
      <c r="J482" s="69"/>
    </row>
    <row r="483" spans="1:10" x14ac:dyDescent="0.25">
      <c r="A483" s="69"/>
      <c r="B483" s="20"/>
      <c r="C483" s="20"/>
      <c r="D483" s="70"/>
      <c r="E483" s="20"/>
      <c r="F483" s="20"/>
      <c r="G483" s="67"/>
      <c r="H483" s="67"/>
      <c r="I483" s="69"/>
      <c r="J483" s="69"/>
    </row>
    <row r="484" spans="1:10" x14ac:dyDescent="0.25">
      <c r="A484" s="69"/>
      <c r="B484" s="20"/>
      <c r="C484" s="20"/>
      <c r="D484" s="70"/>
      <c r="E484" s="20"/>
      <c r="F484" s="20"/>
      <c r="G484" s="67"/>
      <c r="H484" s="67"/>
      <c r="I484" s="69"/>
      <c r="J484" s="69"/>
    </row>
    <row r="485" spans="1:10" x14ac:dyDescent="0.25">
      <c r="A485" s="69"/>
      <c r="B485" s="20"/>
      <c r="C485" s="20"/>
      <c r="D485" s="70"/>
      <c r="E485" s="20"/>
      <c r="F485" s="20"/>
      <c r="G485" s="67"/>
      <c r="H485" s="67"/>
      <c r="I485" s="69"/>
      <c r="J485" s="69"/>
    </row>
    <row r="486" spans="1:10" x14ac:dyDescent="0.25">
      <c r="A486" s="69"/>
      <c r="B486" s="20"/>
      <c r="C486" s="20"/>
      <c r="D486" s="70"/>
      <c r="E486" s="20"/>
      <c r="F486" s="20"/>
      <c r="G486" s="67"/>
      <c r="H486" s="67"/>
      <c r="I486" s="69"/>
      <c r="J486" s="69"/>
    </row>
    <row r="487" spans="1:10" x14ac:dyDescent="0.25">
      <c r="A487" s="69"/>
      <c r="B487" s="20"/>
      <c r="C487" s="20"/>
      <c r="D487" s="70"/>
      <c r="E487" s="20"/>
      <c r="F487" s="20"/>
      <c r="G487" s="67"/>
      <c r="H487" s="67"/>
      <c r="I487" s="69"/>
      <c r="J487" s="69"/>
    </row>
    <row r="488" spans="1:10" x14ac:dyDescent="0.25">
      <c r="A488" s="69"/>
      <c r="B488" s="20"/>
      <c r="C488" s="20"/>
      <c r="D488" s="70"/>
      <c r="E488" s="20"/>
      <c r="F488" s="20"/>
      <c r="G488" s="67"/>
      <c r="H488" s="67"/>
      <c r="I488" s="69"/>
      <c r="J488" s="69"/>
    </row>
    <row r="489" spans="1:10" x14ac:dyDescent="0.25">
      <c r="A489" s="69"/>
      <c r="B489" s="20"/>
      <c r="C489" s="20"/>
      <c r="D489" s="70"/>
      <c r="E489" s="20"/>
      <c r="F489" s="20"/>
      <c r="G489" s="67"/>
      <c r="H489" s="67"/>
      <c r="I489" s="69"/>
      <c r="J489" s="69"/>
    </row>
    <row r="490" spans="1:10" x14ac:dyDescent="0.25">
      <c r="A490" s="69"/>
      <c r="B490" s="20"/>
      <c r="C490" s="20"/>
      <c r="D490" s="70"/>
      <c r="E490" s="20"/>
      <c r="F490" s="20"/>
      <c r="G490" s="67"/>
      <c r="H490" s="67"/>
      <c r="I490" s="69"/>
      <c r="J490" s="69"/>
    </row>
    <row r="491" spans="1:10" x14ac:dyDescent="0.25">
      <c r="A491" s="69"/>
      <c r="B491" s="20"/>
      <c r="C491" s="20"/>
      <c r="D491" s="70"/>
      <c r="E491" s="20"/>
      <c r="F491" s="20"/>
      <c r="G491" s="67"/>
      <c r="H491" s="67"/>
      <c r="I491" s="69"/>
      <c r="J491" s="69"/>
    </row>
    <row r="492" spans="1:10" x14ac:dyDescent="0.25">
      <c r="A492" s="69"/>
      <c r="B492" s="20"/>
      <c r="C492" s="20"/>
      <c r="D492" s="70"/>
      <c r="E492" s="20"/>
      <c r="F492" s="20"/>
      <c r="G492" s="67"/>
      <c r="H492" s="67"/>
      <c r="I492" s="69"/>
      <c r="J492" s="69"/>
    </row>
    <row r="493" spans="1:10" x14ac:dyDescent="0.25">
      <c r="A493" s="69"/>
      <c r="B493" s="20"/>
      <c r="C493" s="20"/>
      <c r="D493" s="70"/>
      <c r="E493" s="20"/>
      <c r="F493" s="20"/>
      <c r="G493" s="67"/>
      <c r="H493" s="67"/>
      <c r="I493" s="69"/>
      <c r="J493" s="69"/>
    </row>
    <row r="494" spans="1:10" x14ac:dyDescent="0.25">
      <c r="A494" s="69"/>
      <c r="B494" s="20"/>
      <c r="C494" s="20"/>
      <c r="D494" s="70"/>
      <c r="E494" s="20"/>
      <c r="F494" s="20"/>
      <c r="G494" s="67"/>
      <c r="H494" s="67"/>
      <c r="I494" s="69"/>
      <c r="J494" s="69"/>
    </row>
    <row r="495" spans="1:10" x14ac:dyDescent="0.25">
      <c r="A495" s="69"/>
      <c r="B495" s="20"/>
      <c r="C495" s="20"/>
      <c r="D495" s="70"/>
      <c r="E495" s="20"/>
      <c r="F495" s="20"/>
      <c r="G495" s="67"/>
      <c r="H495" s="67"/>
      <c r="I495" s="69"/>
      <c r="J495" s="69"/>
    </row>
    <row r="496" spans="1:10" x14ac:dyDescent="0.25">
      <c r="A496" s="69"/>
      <c r="B496" s="20"/>
      <c r="C496" s="20"/>
      <c r="D496" s="70"/>
      <c r="E496" s="20"/>
      <c r="F496" s="20"/>
      <c r="G496" s="67"/>
      <c r="H496" s="67"/>
      <c r="I496" s="69"/>
      <c r="J496" s="69"/>
    </row>
    <row r="497" spans="1:10" x14ac:dyDescent="0.25">
      <c r="A497" s="69"/>
      <c r="B497" s="20"/>
      <c r="C497" s="20"/>
      <c r="D497" s="70"/>
      <c r="E497" s="20"/>
      <c r="F497" s="20"/>
      <c r="G497" s="67"/>
      <c r="H497" s="67"/>
      <c r="I497" s="69"/>
      <c r="J497" s="69"/>
    </row>
    <row r="498" spans="1:10" x14ac:dyDescent="0.25">
      <c r="A498" s="69"/>
      <c r="B498" s="20"/>
      <c r="C498" s="20"/>
      <c r="D498" s="70"/>
      <c r="E498" s="20"/>
      <c r="F498" s="20"/>
      <c r="G498" s="67"/>
      <c r="H498" s="67"/>
      <c r="I498" s="69"/>
      <c r="J498" s="69"/>
    </row>
    <row r="499" spans="1:10" x14ac:dyDescent="0.25">
      <c r="A499" s="69"/>
      <c r="B499" s="20"/>
      <c r="C499" s="20"/>
      <c r="D499" s="70"/>
      <c r="E499" s="20"/>
      <c r="F499" s="20"/>
      <c r="G499" s="67"/>
      <c r="H499" s="67"/>
      <c r="I499" s="69"/>
      <c r="J499" s="69"/>
    </row>
    <row r="500" spans="1:10" x14ac:dyDescent="0.25">
      <c r="A500" s="69"/>
      <c r="B500" s="20"/>
      <c r="C500" s="20"/>
      <c r="D500" s="70"/>
      <c r="E500" s="20"/>
      <c r="F500" s="20"/>
      <c r="G500" s="67"/>
      <c r="H500" s="67"/>
      <c r="I500" s="69"/>
      <c r="J500" s="69"/>
    </row>
    <row r="501" spans="1:10" x14ac:dyDescent="0.25">
      <c r="A501" s="69"/>
      <c r="B501" s="20"/>
      <c r="C501" s="20"/>
      <c r="D501" s="70"/>
      <c r="E501" s="20"/>
      <c r="F501" s="20"/>
      <c r="G501" s="67"/>
      <c r="H501" s="67"/>
      <c r="I501" s="69"/>
      <c r="J501" s="69"/>
    </row>
    <row r="502" spans="1:10" x14ac:dyDescent="0.25">
      <c r="A502" s="69"/>
      <c r="B502" s="20"/>
      <c r="C502" s="20"/>
      <c r="D502" s="70"/>
      <c r="E502" s="20"/>
      <c r="F502" s="20"/>
      <c r="G502" s="67"/>
      <c r="H502" s="67"/>
      <c r="I502" s="69"/>
      <c r="J502" s="69"/>
    </row>
    <row r="503" spans="1:10" x14ac:dyDescent="0.25">
      <c r="A503" s="69"/>
      <c r="B503" s="20"/>
      <c r="C503" s="20"/>
      <c r="D503" s="70"/>
      <c r="E503" s="20"/>
      <c r="F503" s="20"/>
      <c r="G503" s="67"/>
      <c r="H503" s="67"/>
      <c r="I503" s="69"/>
      <c r="J503" s="69"/>
    </row>
    <row r="504" spans="1:10" x14ac:dyDescent="0.25">
      <c r="A504" s="69"/>
      <c r="B504" s="20"/>
      <c r="C504" s="20"/>
      <c r="D504" s="70"/>
      <c r="E504" s="20"/>
      <c r="F504" s="20"/>
      <c r="G504" s="67"/>
      <c r="H504" s="67"/>
      <c r="I504" s="69"/>
      <c r="J504" s="69"/>
    </row>
    <row r="505" spans="1:10" x14ac:dyDescent="0.25">
      <c r="A505" s="69"/>
      <c r="B505" s="20"/>
      <c r="C505" s="20"/>
      <c r="D505" s="70"/>
      <c r="E505" s="20"/>
      <c r="F505" s="20"/>
      <c r="G505" s="67"/>
      <c r="H505" s="67"/>
      <c r="I505" s="69"/>
      <c r="J505" s="69"/>
    </row>
    <row r="506" spans="1:10" x14ac:dyDescent="0.25">
      <c r="A506" s="69"/>
      <c r="B506" s="20"/>
      <c r="C506" s="20"/>
      <c r="D506" s="70"/>
      <c r="E506" s="20"/>
      <c r="F506" s="20"/>
      <c r="G506" s="67"/>
      <c r="H506" s="67"/>
      <c r="I506" s="69"/>
      <c r="J506" s="69"/>
    </row>
    <row r="507" spans="1:10" x14ac:dyDescent="0.25">
      <c r="A507" s="69"/>
      <c r="B507" s="20"/>
      <c r="C507" s="20"/>
      <c r="D507" s="70"/>
      <c r="E507" s="20"/>
      <c r="F507" s="20"/>
      <c r="G507" s="67"/>
      <c r="H507" s="67"/>
      <c r="I507" s="69"/>
      <c r="J507" s="69"/>
    </row>
    <row r="508" spans="1:10" x14ac:dyDescent="0.25">
      <c r="A508" s="69"/>
      <c r="B508" s="20"/>
      <c r="C508" s="20"/>
      <c r="D508" s="70"/>
      <c r="E508" s="20"/>
      <c r="F508" s="20"/>
      <c r="G508" s="67"/>
      <c r="H508" s="67"/>
      <c r="I508" s="69"/>
      <c r="J508" s="69"/>
    </row>
    <row r="509" spans="1:10" x14ac:dyDescent="0.25">
      <c r="A509" s="69"/>
      <c r="B509" s="20"/>
      <c r="C509" s="20"/>
      <c r="D509" s="70"/>
      <c r="E509" s="20"/>
      <c r="F509" s="20"/>
      <c r="G509" s="67"/>
      <c r="H509" s="67"/>
      <c r="I509" s="69"/>
      <c r="J509" s="69"/>
    </row>
    <row r="510" spans="1:10" x14ac:dyDescent="0.25">
      <c r="A510" s="69"/>
      <c r="B510" s="20"/>
      <c r="C510" s="20"/>
      <c r="D510" s="70"/>
      <c r="E510" s="20"/>
      <c r="F510" s="20"/>
      <c r="G510" s="67"/>
      <c r="H510" s="67"/>
      <c r="I510" s="69"/>
      <c r="J510" s="69"/>
    </row>
    <row r="511" spans="1:10" x14ac:dyDescent="0.25">
      <c r="A511" s="69"/>
      <c r="B511" s="20"/>
      <c r="C511" s="20"/>
      <c r="D511" s="70"/>
      <c r="E511" s="20"/>
      <c r="F511" s="20"/>
      <c r="G511" s="67"/>
      <c r="H511" s="67"/>
      <c r="I511" s="69"/>
      <c r="J511" s="69"/>
    </row>
    <row r="512" spans="1:10" x14ac:dyDescent="0.25">
      <c r="A512" s="69"/>
      <c r="B512" s="20"/>
      <c r="C512" s="20"/>
      <c r="D512" s="70"/>
      <c r="E512" s="20"/>
      <c r="F512" s="20"/>
      <c r="G512" s="67"/>
      <c r="H512" s="67"/>
      <c r="I512" s="69"/>
      <c r="J512" s="69"/>
    </row>
    <row r="513" spans="1:10" x14ac:dyDescent="0.25">
      <c r="A513" s="69"/>
      <c r="B513" s="20"/>
      <c r="C513" s="20"/>
      <c r="D513" s="70"/>
      <c r="E513" s="20"/>
      <c r="F513" s="20"/>
      <c r="G513" s="67"/>
      <c r="H513" s="67"/>
      <c r="I513" s="69"/>
      <c r="J513" s="69"/>
    </row>
    <row r="514" spans="1:10" x14ac:dyDescent="0.25">
      <c r="A514" s="69"/>
      <c r="B514" s="20"/>
      <c r="C514" s="20"/>
      <c r="D514" s="70"/>
      <c r="E514" s="20"/>
      <c r="F514" s="20"/>
      <c r="G514" s="67"/>
      <c r="H514" s="67"/>
      <c r="I514" s="69"/>
      <c r="J514" s="69"/>
    </row>
    <row r="515" spans="1:10" x14ac:dyDescent="0.25">
      <c r="A515" s="69"/>
      <c r="B515" s="20"/>
      <c r="C515" s="20"/>
      <c r="D515" s="70"/>
      <c r="E515" s="20"/>
      <c r="F515" s="20"/>
      <c r="G515" s="67"/>
      <c r="H515" s="67"/>
      <c r="I515" s="69"/>
      <c r="J515" s="69"/>
    </row>
    <row r="516" spans="1:10" x14ac:dyDescent="0.25">
      <c r="A516" s="69"/>
      <c r="B516" s="20"/>
      <c r="C516" s="20"/>
      <c r="D516" s="70"/>
      <c r="E516" s="20"/>
      <c r="F516" s="20"/>
      <c r="G516" s="67"/>
      <c r="H516" s="67"/>
      <c r="I516" s="69"/>
      <c r="J516" s="69"/>
    </row>
    <row r="517" spans="1:10" x14ac:dyDescent="0.25">
      <c r="A517" s="69"/>
      <c r="B517" s="20"/>
      <c r="C517" s="20"/>
      <c r="D517" s="70"/>
      <c r="E517" s="20"/>
      <c r="F517" s="20"/>
      <c r="G517" s="67"/>
      <c r="H517" s="67"/>
      <c r="I517" s="69"/>
      <c r="J517" s="69"/>
    </row>
    <row r="518" spans="1:10" x14ac:dyDescent="0.25">
      <c r="A518" s="69"/>
      <c r="B518" s="20"/>
      <c r="C518" s="20"/>
      <c r="D518" s="70"/>
      <c r="E518" s="20"/>
      <c r="F518" s="20"/>
      <c r="G518" s="67"/>
      <c r="H518" s="67"/>
      <c r="I518" s="69"/>
      <c r="J518" s="69"/>
    </row>
    <row r="519" spans="1:10" x14ac:dyDescent="0.25">
      <c r="A519" s="69"/>
      <c r="B519" s="20"/>
      <c r="C519" s="20"/>
      <c r="D519" s="70"/>
      <c r="E519" s="20"/>
      <c r="F519" s="20"/>
      <c r="G519" s="67"/>
      <c r="H519" s="67"/>
      <c r="I519" s="69"/>
      <c r="J519" s="69"/>
    </row>
    <row r="520" spans="1:10" x14ac:dyDescent="0.25">
      <c r="A520" s="69"/>
      <c r="B520" s="20"/>
      <c r="C520" s="20"/>
      <c r="D520" s="70"/>
      <c r="E520" s="20"/>
      <c r="F520" s="20"/>
      <c r="G520" s="67"/>
      <c r="H520" s="67"/>
      <c r="I520" s="69"/>
      <c r="J520" s="69"/>
    </row>
    <row r="521" spans="1:10" x14ac:dyDescent="0.25">
      <c r="A521" s="69"/>
      <c r="B521" s="20"/>
      <c r="C521" s="20"/>
      <c r="D521" s="70"/>
      <c r="E521" s="20"/>
      <c r="F521" s="20"/>
      <c r="G521" s="67"/>
      <c r="H521" s="67"/>
      <c r="I521" s="69"/>
      <c r="J521" s="69"/>
    </row>
    <row r="522" spans="1:10" x14ac:dyDescent="0.25">
      <c r="A522" s="69"/>
      <c r="B522" s="20"/>
      <c r="C522" s="20"/>
      <c r="D522" s="70"/>
      <c r="E522" s="20"/>
      <c r="F522" s="20"/>
      <c r="G522" s="67"/>
      <c r="H522" s="67"/>
      <c r="I522" s="69"/>
      <c r="J522" s="69"/>
    </row>
    <row r="523" spans="1:10" x14ac:dyDescent="0.25">
      <c r="A523" s="69"/>
      <c r="B523" s="20"/>
      <c r="C523" s="20"/>
      <c r="D523" s="70"/>
      <c r="E523" s="20"/>
      <c r="F523" s="20"/>
      <c r="G523" s="67"/>
      <c r="H523" s="67"/>
      <c r="I523" s="69"/>
      <c r="J523" s="69"/>
    </row>
    <row r="524" spans="1:10" x14ac:dyDescent="0.25">
      <c r="A524" s="69"/>
      <c r="B524" s="20"/>
      <c r="C524" s="20"/>
      <c r="D524" s="70"/>
      <c r="E524" s="20"/>
      <c r="F524" s="20"/>
      <c r="G524" s="67"/>
      <c r="H524" s="67"/>
      <c r="I524" s="69"/>
      <c r="J524" s="69"/>
    </row>
    <row r="525" spans="1:10" x14ac:dyDescent="0.25">
      <c r="A525" s="69"/>
      <c r="B525" s="20"/>
      <c r="C525" s="20"/>
      <c r="D525" s="70"/>
      <c r="E525" s="20"/>
      <c r="F525" s="20"/>
      <c r="G525" s="67"/>
      <c r="H525" s="67"/>
      <c r="I525" s="69"/>
      <c r="J525" s="69"/>
    </row>
    <row r="526" spans="1:10" x14ac:dyDescent="0.25">
      <c r="A526" s="69"/>
      <c r="B526" s="20"/>
      <c r="C526" s="20"/>
      <c r="D526" s="70"/>
      <c r="E526" s="20"/>
      <c r="F526" s="20"/>
      <c r="G526" s="67"/>
      <c r="H526" s="67"/>
      <c r="I526" s="69"/>
      <c r="J526" s="69"/>
    </row>
    <row r="527" spans="1:10" x14ac:dyDescent="0.25">
      <c r="A527" s="69"/>
      <c r="B527" s="20"/>
      <c r="C527" s="20"/>
      <c r="D527" s="70"/>
      <c r="E527" s="20"/>
      <c r="F527" s="20"/>
      <c r="G527" s="67"/>
      <c r="H527" s="67"/>
      <c r="I527" s="69"/>
      <c r="J527" s="69"/>
    </row>
    <row r="528" spans="1:10" x14ac:dyDescent="0.25">
      <c r="A528" s="69"/>
      <c r="B528" s="20"/>
      <c r="C528" s="20"/>
      <c r="D528" s="70"/>
      <c r="E528" s="20"/>
      <c r="F528" s="20"/>
      <c r="G528" s="69"/>
      <c r="H528" s="71"/>
      <c r="I528" s="69"/>
      <c r="J528" s="69"/>
    </row>
    <row r="529" spans="1:10" x14ac:dyDescent="0.25">
      <c r="A529" s="69"/>
      <c r="B529" s="20"/>
      <c r="C529" s="69"/>
      <c r="D529" s="70"/>
      <c r="E529" s="20"/>
      <c r="F529" s="20"/>
      <c r="G529" s="69"/>
      <c r="H529" s="71"/>
      <c r="I529" s="69"/>
      <c r="J529" s="69"/>
    </row>
    <row r="530" spans="1:10" x14ac:dyDescent="0.25">
      <c r="A530" s="69"/>
      <c r="B530" s="20"/>
      <c r="C530" s="69"/>
      <c r="D530" s="70"/>
      <c r="E530" s="20"/>
      <c r="F530" s="20"/>
      <c r="G530" s="69"/>
      <c r="H530" s="71"/>
      <c r="I530" s="69"/>
      <c r="J530" s="69"/>
    </row>
  </sheetData>
  <mergeCells count="8">
    <mergeCell ref="H5:H6"/>
    <mergeCell ref="B2:H4"/>
    <mergeCell ref="C5:C6"/>
    <mergeCell ref="D5:D6"/>
    <mergeCell ref="E5:E6"/>
    <mergeCell ref="F5:F6"/>
    <mergeCell ref="G5:G6"/>
    <mergeCell ref="B5:B6"/>
  </mergeCells>
  <dataValidations count="3">
    <dataValidation type="list" allowBlank="1" showInputMessage="1" showErrorMessage="1" sqref="F12" xr:uid="{0071425F-5F31-44D7-BD07-0DB33D9FAC2C}">
      <formula1>AB5:AE5</formula1>
    </dataValidation>
    <dataValidation type="list" allowBlank="1" showInputMessage="1" showErrorMessage="1" sqref="F7:F11 F13:F527" xr:uid="{00000000-0002-0000-0000-000002000000}">
      <formula1>$AB$5:$AE$5</formula1>
    </dataValidation>
    <dataValidation type="list" allowBlank="1" showInputMessage="1" showErrorMessage="1" sqref="E7:E527" xr:uid="{00000000-0002-0000-0000-000001000000}">
      <formula1>$AB$4:$AF$4</formula1>
    </dataValidation>
  </dataValidations>
  <pageMargins left="0.70866141732283472" right="0.70866141732283472" top="0.74803149606299213" bottom="0.74803149606299213" header="0.31496062992125984" footer="0.31496062992125984"/>
  <pageSetup paperSize="9" scale="31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B1:G60"/>
  <sheetViews>
    <sheetView topLeftCell="A4" workbookViewId="0">
      <selection activeCell="D12" sqref="D12"/>
    </sheetView>
  </sheetViews>
  <sheetFormatPr baseColWidth="10" defaultColWidth="11.5703125" defaultRowHeight="15" x14ac:dyDescent="0.25"/>
  <cols>
    <col min="1" max="1" width="6.5703125" style="3" customWidth="1"/>
    <col min="2" max="2" width="13.5703125" style="11" bestFit="1" customWidth="1"/>
    <col min="3" max="3" width="17.85546875" style="3" customWidth="1"/>
    <col min="4" max="4" width="27.28515625" style="11" customWidth="1"/>
    <col min="5" max="5" width="39.85546875" style="83" customWidth="1"/>
    <col min="6" max="6" width="47.7109375" style="87" customWidth="1"/>
    <col min="7" max="7" width="18.140625" style="11" customWidth="1"/>
    <col min="8" max="8" width="11.5703125" style="3"/>
    <col min="9" max="9" width="20.5703125" style="3" bestFit="1" customWidth="1"/>
    <col min="10" max="16384" width="11.5703125" style="3"/>
  </cols>
  <sheetData>
    <row r="1" spans="2:7" s="24" customFormat="1" ht="15.75" thickBot="1" x14ac:dyDescent="0.3">
      <c r="B1" s="75"/>
      <c r="D1" s="75"/>
      <c r="E1" s="82"/>
      <c r="F1" s="86"/>
      <c r="G1" s="75"/>
    </row>
    <row r="2" spans="2:7" s="24" customFormat="1" ht="14.45" customHeight="1" x14ac:dyDescent="0.25">
      <c r="B2" s="142" t="s">
        <v>0</v>
      </c>
      <c r="C2" s="148"/>
      <c r="D2" s="148"/>
      <c r="E2" s="148"/>
      <c r="F2" s="148"/>
      <c r="G2" s="143"/>
    </row>
    <row r="3" spans="2:7" ht="14.45" customHeight="1" x14ac:dyDescent="0.25">
      <c r="B3" s="149"/>
      <c r="C3" s="150"/>
      <c r="D3" s="150"/>
      <c r="E3" s="150"/>
      <c r="F3" s="150"/>
      <c r="G3" s="151"/>
    </row>
    <row r="4" spans="2:7" ht="15" customHeight="1" thickBot="1" x14ac:dyDescent="0.3">
      <c r="B4" s="152"/>
      <c r="C4" s="153"/>
      <c r="D4" s="153"/>
      <c r="E4" s="153"/>
      <c r="F4" s="153"/>
      <c r="G4" s="154"/>
    </row>
    <row r="5" spans="2:7" x14ac:dyDescent="0.25">
      <c r="B5" s="155" t="s">
        <v>3</v>
      </c>
      <c r="C5" s="155" t="s">
        <v>1</v>
      </c>
      <c r="D5" s="155" t="s">
        <v>624</v>
      </c>
      <c r="E5" s="146" t="s">
        <v>2</v>
      </c>
      <c r="F5" s="155" t="s">
        <v>628</v>
      </c>
      <c r="G5" s="146" t="s">
        <v>202</v>
      </c>
    </row>
    <row r="6" spans="2:7" ht="15.75" thickBot="1" x14ac:dyDescent="0.3">
      <c r="B6" s="156"/>
      <c r="C6" s="156"/>
      <c r="D6" s="156"/>
      <c r="E6" s="147"/>
      <c r="F6" s="156"/>
      <c r="G6" s="147"/>
    </row>
    <row r="7" spans="2:7" ht="45" x14ac:dyDescent="0.25">
      <c r="B7" s="37" t="s">
        <v>428</v>
      </c>
      <c r="C7" s="38" t="s">
        <v>203</v>
      </c>
      <c r="D7" s="38" t="str">
        <f>_xlfn.CONCAT(SYS_Req!C31, ", ", SYS_Req!C32)</f>
        <v>SYS025, SYS026</v>
      </c>
      <c r="E7" s="81" t="s">
        <v>625</v>
      </c>
      <c r="F7" s="85" t="s">
        <v>629</v>
      </c>
      <c r="G7" s="37" t="str">
        <f>BuscarCoincidencias(C7,HW_Req!$D$7:$D$1000,HW_Req!$C$7:$C$1000)</f>
        <v/>
      </c>
    </row>
    <row r="8" spans="2:7" ht="45" x14ac:dyDescent="0.25">
      <c r="B8" s="73" t="s">
        <v>428</v>
      </c>
      <c r="C8" s="73" t="s">
        <v>204</v>
      </c>
      <c r="D8" s="73" t="str">
        <f>_xlfn.CONCAT(SYS_Req!C37, ", ", SYS_Req!C38)</f>
        <v>SYS031, SYS032</v>
      </c>
      <c r="E8" s="44" t="s">
        <v>627</v>
      </c>
      <c r="F8" s="89" t="s">
        <v>629</v>
      </c>
      <c r="G8" s="91" t="str">
        <f>BuscarCoincidencias(C8,HW_Req!$D$7:$D$1000,HW_Req!$C$7:$C$1000)</f>
        <v/>
      </c>
    </row>
    <row r="9" spans="2:7" ht="45" x14ac:dyDescent="0.25">
      <c r="B9" s="39" t="s">
        <v>428</v>
      </c>
      <c r="C9" s="39" t="s">
        <v>205</v>
      </c>
      <c r="D9" s="39" t="str">
        <f>_xlfn.CONCAT(SYS_Req!C43, ", ", SYS_Req!C44)</f>
        <v>SYS037, SYS038</v>
      </c>
      <c r="E9" s="43" t="s">
        <v>630</v>
      </c>
      <c r="F9" s="90" t="s">
        <v>629</v>
      </c>
      <c r="G9" s="92" t="str">
        <f>BuscarCoincidencias(C9,HW_Req!$D$7:$D$1000,HW_Req!$C$7:$C$1000)</f>
        <v/>
      </c>
    </row>
    <row r="10" spans="2:7" ht="45" x14ac:dyDescent="0.25">
      <c r="B10" s="73" t="s">
        <v>428</v>
      </c>
      <c r="C10" s="73" t="s">
        <v>206</v>
      </c>
      <c r="D10" s="73" t="str">
        <f>_xlfn.CONCAT(SYS_Req!C47, ", ", SYS_Req!C48)</f>
        <v>SYS041, SYS042</v>
      </c>
      <c r="E10" s="44" t="s">
        <v>641</v>
      </c>
      <c r="F10" s="89" t="s">
        <v>629</v>
      </c>
      <c r="G10" s="91" t="str">
        <f>BuscarCoincidencias(C10,HW_Req!$D$7:$D$1000,HW_Req!$C$7:$C$1000)</f>
        <v>HW001</v>
      </c>
    </row>
    <row r="11" spans="2:7" ht="45" x14ac:dyDescent="0.25">
      <c r="B11" s="39" t="s">
        <v>428</v>
      </c>
      <c r="C11" s="39" t="s">
        <v>207</v>
      </c>
      <c r="D11" s="39" t="str">
        <f>_xlfn.CONCAT(SYS_Req!C55, ", ", SYS_Req!C56)</f>
        <v>SYS049, SYS050</v>
      </c>
      <c r="E11" s="43" t="s">
        <v>642</v>
      </c>
      <c r="F11" s="90" t="s">
        <v>629</v>
      </c>
      <c r="G11" s="92" t="str">
        <f>BuscarCoincidencias(C11,HW_Req!$D$7:$D$1000,HW_Req!$C$7:$C$1000)</f>
        <v>HW001</v>
      </c>
    </row>
    <row r="12" spans="2:7" ht="45" x14ac:dyDescent="0.25">
      <c r="B12" s="73" t="s">
        <v>428</v>
      </c>
      <c r="C12" s="73" t="s">
        <v>208</v>
      </c>
      <c r="D12" s="73" t="str">
        <f>_xlfn.CONCAT(SYS_Req!C96, ", ",SYS_Req!C97, )</f>
        <v>SYS090, SYS091</v>
      </c>
      <c r="E12" s="44" t="s">
        <v>650</v>
      </c>
      <c r="F12" s="89" t="s">
        <v>649</v>
      </c>
      <c r="G12" s="91" t="str">
        <f>BuscarCoincidencias(C12,HW_Req!$D$7:$D$1000,HW_Req!$C$7:$C$1000)</f>
        <v/>
      </c>
    </row>
    <row r="13" spans="2:7" ht="30" x14ac:dyDescent="0.25">
      <c r="B13" s="39" t="s">
        <v>448</v>
      </c>
      <c r="C13" s="39" t="s">
        <v>209</v>
      </c>
      <c r="D13" s="94" t="s">
        <v>72</v>
      </c>
      <c r="E13" s="43" t="s">
        <v>654</v>
      </c>
      <c r="F13" s="90" t="s">
        <v>655</v>
      </c>
      <c r="G13" s="92" t="str">
        <f>BuscarCoincidencias(C13,HW_Req!$D$7:$D$1000,HW_Req!$C$7:$C$1000)</f>
        <v/>
      </c>
    </row>
    <row r="14" spans="2:7" ht="30" x14ac:dyDescent="0.25">
      <c r="B14" s="39" t="s">
        <v>314</v>
      </c>
      <c r="C14" s="73" t="s">
        <v>210</v>
      </c>
      <c r="D14" s="134" t="s">
        <v>542</v>
      </c>
      <c r="E14" s="43" t="s">
        <v>910</v>
      </c>
      <c r="F14" s="89" t="s">
        <v>911</v>
      </c>
      <c r="G14" s="91" t="str">
        <f>BuscarCoincidencias(C14,HW_Req!$D$7:$D$1000,HW_Req!$C$7:$C$1000)</f>
        <v/>
      </c>
    </row>
    <row r="15" spans="2:7" x14ac:dyDescent="0.25">
      <c r="B15" s="39"/>
      <c r="C15" s="39" t="s">
        <v>211</v>
      </c>
      <c r="D15" s="39"/>
      <c r="E15" s="43"/>
      <c r="F15" s="90"/>
      <c r="G15" s="92" t="str">
        <f>BuscarCoincidencias(C15,HW_Req!$D$7:$D$1000,HW_Req!$C$7:$C$1000)</f>
        <v/>
      </c>
    </row>
    <row r="16" spans="2:7" x14ac:dyDescent="0.25">
      <c r="B16" s="73"/>
      <c r="C16" s="73" t="s">
        <v>212</v>
      </c>
      <c r="D16" s="73"/>
      <c r="E16" s="44"/>
      <c r="F16" s="89"/>
      <c r="G16" s="91" t="str">
        <f>BuscarCoincidencias(C16,HW_Req!$D$7:$D$1000,HW_Req!$C$7:$C$1000)</f>
        <v/>
      </c>
    </row>
    <row r="17" spans="2:7" x14ac:dyDescent="0.25">
      <c r="B17" s="39"/>
      <c r="C17" s="39" t="s">
        <v>213</v>
      </c>
      <c r="D17" s="39"/>
      <c r="E17" s="43"/>
      <c r="F17" s="90"/>
      <c r="G17" s="92" t="str">
        <f>BuscarCoincidencias(C17,HW_Req!$D$7:$D$1000,HW_Req!$C$7:$C$1000)</f>
        <v/>
      </c>
    </row>
    <row r="18" spans="2:7" x14ac:dyDescent="0.25">
      <c r="B18" s="73"/>
      <c r="C18" s="73" t="s">
        <v>214</v>
      </c>
      <c r="D18" s="73"/>
      <c r="E18" s="44"/>
      <c r="F18" s="89"/>
      <c r="G18" s="91" t="str">
        <f>BuscarCoincidencias(C18,HW_Req!$D$7:$D$1000,HW_Req!$C$7:$C$1000)</f>
        <v/>
      </c>
    </row>
    <row r="19" spans="2:7" x14ac:dyDescent="0.25">
      <c r="B19" s="39"/>
      <c r="C19" s="39" t="s">
        <v>215</v>
      </c>
      <c r="D19" s="39"/>
      <c r="E19" s="43"/>
      <c r="F19" s="90"/>
      <c r="G19" s="92" t="str">
        <f>BuscarCoincidencias(C19,HW_Req!$D$7:$D$1000,HW_Req!$C$7:$C$1000)</f>
        <v/>
      </c>
    </row>
    <row r="20" spans="2:7" x14ac:dyDescent="0.25">
      <c r="B20" s="73"/>
      <c r="C20" s="73" t="s">
        <v>216</v>
      </c>
      <c r="D20" s="73"/>
      <c r="E20" s="44"/>
      <c r="F20" s="89"/>
      <c r="G20" s="91" t="str">
        <f>BuscarCoincidencias(C20,HW_Req!$D$7:$D$1000,HW_Req!$C$7:$C$1000)</f>
        <v/>
      </c>
    </row>
    <row r="21" spans="2:7" x14ac:dyDescent="0.25">
      <c r="B21" s="39"/>
      <c r="C21" s="39" t="s">
        <v>217</v>
      </c>
      <c r="D21" s="39"/>
      <c r="E21" s="43"/>
      <c r="F21" s="90"/>
      <c r="G21" s="92" t="str">
        <f>BuscarCoincidencias(C21,HW_Req!$D$7:$D$1000,HW_Req!$C$7:$C$1000)</f>
        <v/>
      </c>
    </row>
    <row r="22" spans="2:7" x14ac:dyDescent="0.25">
      <c r="B22" s="73"/>
      <c r="C22" s="73" t="s">
        <v>218</v>
      </c>
      <c r="D22" s="73"/>
      <c r="E22" s="44"/>
      <c r="F22" s="89"/>
      <c r="G22" s="91" t="str">
        <f>BuscarCoincidencias(C22,HW_Req!$D$7:$D$1000,HW_Req!$C$7:$C$1000)</f>
        <v/>
      </c>
    </row>
    <row r="23" spans="2:7" x14ac:dyDescent="0.25">
      <c r="B23" s="39"/>
      <c r="C23" s="39" t="s">
        <v>219</v>
      </c>
      <c r="D23" s="39"/>
      <c r="E23" s="43"/>
      <c r="F23" s="90"/>
      <c r="G23" s="92" t="str">
        <f>BuscarCoincidencias(C23,HW_Req!$D$7:$D$1000,HW_Req!$C$7:$C$1000)</f>
        <v/>
      </c>
    </row>
    <row r="24" spans="2:7" x14ac:dyDescent="0.25">
      <c r="B24" s="73"/>
      <c r="C24" s="73" t="s">
        <v>220</v>
      </c>
      <c r="D24" s="73"/>
      <c r="E24" s="44"/>
      <c r="F24" s="89"/>
      <c r="G24" s="91" t="str">
        <f>BuscarCoincidencias(C24,HW_Req!$D$7:$D$1000,HW_Req!$C$7:$C$1000)</f>
        <v/>
      </c>
    </row>
    <row r="25" spans="2:7" x14ac:dyDescent="0.25">
      <c r="B25" s="39"/>
      <c r="C25" s="39" t="s">
        <v>221</v>
      </c>
      <c r="D25" s="39"/>
      <c r="E25" s="43"/>
      <c r="F25" s="90"/>
      <c r="G25" s="92" t="str">
        <f>BuscarCoincidencias(C25,HW_Req!$D$7:$D$1000,HW_Req!$C$7:$C$1000)</f>
        <v/>
      </c>
    </row>
    <row r="26" spans="2:7" x14ac:dyDescent="0.25">
      <c r="B26" s="73"/>
      <c r="C26" s="73" t="s">
        <v>222</v>
      </c>
      <c r="D26" s="73"/>
      <c r="E26" s="44"/>
      <c r="F26" s="89"/>
      <c r="G26" s="91" t="str">
        <f>BuscarCoincidencias(C26,HW_Req!$D$7:$D$1000,HW_Req!$C$7:$C$1000)</f>
        <v/>
      </c>
    </row>
    <row r="27" spans="2:7" x14ac:dyDescent="0.25">
      <c r="C27" s="25" t="s">
        <v>223</v>
      </c>
    </row>
    <row r="60" ht="62.25" customHeight="1" x14ac:dyDescent="0.25"/>
  </sheetData>
  <mergeCells count="7">
    <mergeCell ref="B5:B6"/>
    <mergeCell ref="B2:G4"/>
    <mergeCell ref="C5:C6"/>
    <mergeCell ref="E5:E6"/>
    <mergeCell ref="F5:F6"/>
    <mergeCell ref="G5:G6"/>
    <mergeCell ref="D5:D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57A1D-1320-46E5-89E2-136F4B345136}">
  <sheetPr codeName="Hoja4"/>
  <dimension ref="B1:M163"/>
  <sheetViews>
    <sheetView workbookViewId="0">
      <selection activeCell="E9" sqref="E9"/>
    </sheetView>
  </sheetViews>
  <sheetFormatPr baseColWidth="10" defaultColWidth="11.5703125" defaultRowHeight="15" x14ac:dyDescent="0.25"/>
  <cols>
    <col min="1" max="1" width="6.5703125" style="3" customWidth="1"/>
    <col min="2" max="2" width="13.5703125" style="11" bestFit="1" customWidth="1"/>
    <col min="3" max="3" width="17.85546875" style="3" customWidth="1"/>
    <col min="4" max="4" width="27.28515625" style="11" customWidth="1"/>
    <col min="5" max="5" width="31.42578125" style="87" customWidth="1"/>
    <col min="6" max="6" width="33.7109375" style="87" customWidth="1"/>
    <col min="7" max="7" width="18.140625" style="11" customWidth="1"/>
    <col min="8" max="9" width="11.5703125" style="3"/>
    <col min="10" max="10" width="20.5703125" style="3" bestFit="1" customWidth="1"/>
    <col min="11" max="16384" width="11.5703125" style="3"/>
  </cols>
  <sheetData>
    <row r="1" spans="2:7" s="24" customFormat="1" ht="15.75" thickBot="1" x14ac:dyDescent="0.3">
      <c r="B1" s="75"/>
      <c r="D1" s="75"/>
      <c r="E1" s="86"/>
      <c r="F1" s="86"/>
      <c r="G1" s="75"/>
    </row>
    <row r="2" spans="2:7" s="24" customFormat="1" ht="14.45" customHeight="1" x14ac:dyDescent="0.25">
      <c r="B2" s="142" t="s">
        <v>0</v>
      </c>
      <c r="C2" s="148"/>
      <c r="D2" s="148"/>
      <c r="E2" s="148"/>
      <c r="F2" s="148"/>
      <c r="G2" s="143"/>
    </row>
    <row r="3" spans="2:7" ht="14.45" customHeight="1" x14ac:dyDescent="0.25">
      <c r="B3" s="149"/>
      <c r="C3" s="150"/>
      <c r="D3" s="150"/>
      <c r="E3" s="150"/>
      <c r="F3" s="150"/>
      <c r="G3" s="151"/>
    </row>
    <row r="4" spans="2:7" ht="15" customHeight="1" thickBot="1" x14ac:dyDescent="0.3">
      <c r="B4" s="152"/>
      <c r="C4" s="153"/>
      <c r="D4" s="153"/>
      <c r="E4" s="153"/>
      <c r="F4" s="153"/>
      <c r="G4" s="154"/>
    </row>
    <row r="5" spans="2:7" x14ac:dyDescent="0.25">
      <c r="B5" s="155" t="s">
        <v>3</v>
      </c>
      <c r="C5" s="155" t="s">
        <v>1</v>
      </c>
      <c r="D5" s="155" t="s">
        <v>624</v>
      </c>
      <c r="E5" s="146" t="s">
        <v>2</v>
      </c>
      <c r="F5" s="155" t="s">
        <v>628</v>
      </c>
      <c r="G5" s="146" t="s">
        <v>202</v>
      </c>
    </row>
    <row r="6" spans="2:7" ht="15.75" thickBot="1" x14ac:dyDescent="0.3">
      <c r="B6" s="156"/>
      <c r="C6" s="156"/>
      <c r="D6" s="156"/>
      <c r="E6" s="147"/>
      <c r="F6" s="156"/>
      <c r="G6" s="147"/>
    </row>
    <row r="7" spans="2:7" ht="60" x14ac:dyDescent="0.25">
      <c r="B7" s="37" t="s">
        <v>304</v>
      </c>
      <c r="C7" s="38" t="s">
        <v>224</v>
      </c>
      <c r="D7" s="37" t="str">
        <f>_xlfn.CONCAT(SYS_Req!C47, ", ", SYS_Req!C48, ", ", SYS_Req!C55, ", ", SYS_Req!C56, ", ",SW_Req!C10,", ", SW_Req!C11)</f>
        <v>SYS041, SYS042, SYS049, SYS050, SW004, SW005</v>
      </c>
      <c r="E7" s="81" t="s">
        <v>639</v>
      </c>
      <c r="F7" s="85" t="s">
        <v>640</v>
      </c>
      <c r="G7" s="37" t="str">
        <f>BuscarCoincidencias(C7,SW_Req!$D$7:$D$1000,SW_Req!$C$7:$C$1000)</f>
        <v/>
      </c>
    </row>
    <row r="8" spans="2:7" ht="60" x14ac:dyDescent="0.25">
      <c r="B8" s="96" t="s">
        <v>337</v>
      </c>
      <c r="C8" s="32" t="s">
        <v>225</v>
      </c>
      <c r="D8" s="74" t="s">
        <v>72</v>
      </c>
      <c r="E8" s="44" t="s">
        <v>659</v>
      </c>
      <c r="F8" s="44"/>
      <c r="G8" s="91" t="str">
        <f>BuscarCoincidencias(C8,SW_Req!$D$7:$D$1000,SW_Req!$C$7:$C$1000)</f>
        <v/>
      </c>
    </row>
    <row r="9" spans="2:7" ht="30" x14ac:dyDescent="0.25">
      <c r="B9" s="39" t="s">
        <v>790</v>
      </c>
      <c r="C9" s="39" t="s">
        <v>226</v>
      </c>
      <c r="D9" s="94" t="s">
        <v>72</v>
      </c>
      <c r="E9" s="43" t="s">
        <v>791</v>
      </c>
      <c r="F9" s="40"/>
      <c r="G9" s="40" t="str">
        <f>BuscarCoincidencias(C9,SW_Req!$D$7:$D$1000,SW_Req!$C$7:$C$1000)</f>
        <v/>
      </c>
    </row>
    <row r="10" spans="2:7" x14ac:dyDescent="0.25">
      <c r="B10" s="96"/>
      <c r="C10" s="73" t="s">
        <v>227</v>
      </c>
      <c r="E10" s="33"/>
      <c r="F10" s="44"/>
      <c r="G10" s="91" t="str">
        <f>BuscarCoincidencias(C10,SW_Req!$D$7:$D$1000,SW_Req!$C$7:$C$1000)</f>
        <v/>
      </c>
    </row>
    <row r="11" spans="2:7" x14ac:dyDescent="0.25">
      <c r="B11" s="39"/>
      <c r="C11" s="39" t="s">
        <v>228</v>
      </c>
      <c r="D11" s="39"/>
      <c r="E11" s="40"/>
      <c r="F11" s="40"/>
      <c r="G11" s="40" t="str">
        <f>BuscarCoincidencias(C11,SW_Req!$D$7:$D$1000,SW_Req!$C$7:$C$1000)</f>
        <v/>
      </c>
    </row>
    <row r="12" spans="2:7" x14ac:dyDescent="0.25">
      <c r="B12" s="96"/>
      <c r="C12" s="73" t="s">
        <v>229</v>
      </c>
      <c r="E12" s="33"/>
      <c r="F12" s="44"/>
      <c r="G12" s="91" t="str">
        <f>BuscarCoincidencias(C12,SW_Req!$D$7:$D$1000,SW_Req!$C$7:$C$1000)</f>
        <v/>
      </c>
    </row>
    <row r="13" spans="2:7" x14ac:dyDescent="0.25">
      <c r="B13" s="39"/>
      <c r="C13" s="39" t="s">
        <v>230</v>
      </c>
      <c r="D13" s="39"/>
      <c r="E13" s="40"/>
      <c r="F13" s="40"/>
      <c r="G13" s="40" t="str">
        <f>BuscarCoincidencias(C13,SW_Req!$D$7:$D$1000,SW_Req!$C$7:$C$1000)</f>
        <v/>
      </c>
    </row>
    <row r="14" spans="2:7" x14ac:dyDescent="0.25">
      <c r="B14" s="96"/>
      <c r="C14" s="73" t="s">
        <v>231</v>
      </c>
      <c r="E14" s="33"/>
      <c r="F14" s="44"/>
      <c r="G14" s="91" t="str">
        <f>BuscarCoincidencias(C14,SW_Req!$D$7:$D$1000,SW_Req!$C$7:$C$1000)</f>
        <v/>
      </c>
    </row>
    <row r="15" spans="2:7" x14ac:dyDescent="0.25">
      <c r="B15" s="39"/>
      <c r="C15" s="39" t="s">
        <v>232</v>
      </c>
      <c r="D15" s="39"/>
      <c r="E15" s="40"/>
      <c r="F15" s="40"/>
      <c r="G15" s="40" t="str">
        <f>BuscarCoincidencias(C15,SW_Req!$D$7:$D$1000,SW_Req!$C$7:$C$1000)</f>
        <v/>
      </c>
    </row>
    <row r="16" spans="2:7" x14ac:dyDescent="0.25">
      <c r="B16" s="96"/>
      <c r="C16" s="73" t="s">
        <v>233</v>
      </c>
      <c r="E16" s="33"/>
      <c r="F16" s="44"/>
      <c r="G16" s="91" t="str">
        <f>BuscarCoincidencias(C16,SW_Req!$D$7:$D$1000,SW_Req!$C$7:$C$1000)</f>
        <v/>
      </c>
    </row>
    <row r="17" spans="2:7" x14ac:dyDescent="0.25">
      <c r="B17" s="39"/>
      <c r="C17" s="39" t="s">
        <v>234</v>
      </c>
      <c r="D17" s="39"/>
      <c r="E17" s="40"/>
      <c r="F17" s="40"/>
      <c r="G17" s="40" t="str">
        <f>BuscarCoincidencias(C17,SW_Req!$D$7:$D$1000,SW_Req!$C$7:$C$1000)</f>
        <v/>
      </c>
    </row>
    <row r="18" spans="2:7" x14ac:dyDescent="0.25">
      <c r="B18" s="96"/>
      <c r="C18" s="73" t="s">
        <v>235</v>
      </c>
      <c r="E18" s="33"/>
      <c r="F18" s="44"/>
      <c r="G18" s="91" t="str">
        <f>BuscarCoincidencias(C18,SW_Req!$D$7:$D$1000,SW_Req!$C$7:$C$1000)</f>
        <v/>
      </c>
    </row>
    <row r="19" spans="2:7" x14ac:dyDescent="0.25">
      <c r="B19" s="39"/>
      <c r="C19" s="39" t="s">
        <v>236</v>
      </c>
      <c r="D19" s="39"/>
      <c r="E19" s="40"/>
      <c r="F19" s="40"/>
      <c r="G19" s="40" t="str">
        <f>BuscarCoincidencias(C19,SW_Req!$D$7:$D$1000,SW_Req!$C$7:$C$1000)</f>
        <v/>
      </c>
    </row>
    <row r="20" spans="2:7" x14ac:dyDescent="0.25">
      <c r="B20" s="96"/>
      <c r="C20" s="73" t="s">
        <v>237</v>
      </c>
      <c r="E20" s="33"/>
      <c r="F20" s="44"/>
      <c r="G20" s="91" t="str">
        <f>BuscarCoincidencias(C20,SW_Req!$D$7:$D$1000,SW_Req!$C$7:$C$1000)</f>
        <v/>
      </c>
    </row>
    <row r="21" spans="2:7" x14ac:dyDescent="0.25">
      <c r="B21" s="39"/>
      <c r="C21" s="39" t="s">
        <v>238</v>
      </c>
      <c r="D21" s="39"/>
      <c r="E21" s="40"/>
      <c r="F21" s="40"/>
      <c r="G21" s="40" t="str">
        <f>BuscarCoincidencias(C21,SW_Req!$D$7:$D$1000,SW_Req!$C$7:$C$1000)</f>
        <v/>
      </c>
    </row>
    <row r="22" spans="2:7" x14ac:dyDescent="0.25">
      <c r="B22" s="96"/>
      <c r="C22" s="73" t="s">
        <v>239</v>
      </c>
      <c r="E22" s="33"/>
      <c r="F22" s="44"/>
      <c r="G22" s="91" t="str">
        <f>BuscarCoincidencias(C22,SW_Req!$D$7:$D$1000,SW_Req!$C$7:$C$1000)</f>
        <v/>
      </c>
    </row>
    <row r="23" spans="2:7" x14ac:dyDescent="0.25">
      <c r="B23" s="39"/>
      <c r="C23" s="39" t="s">
        <v>240</v>
      </c>
      <c r="D23" s="39"/>
      <c r="E23" s="40"/>
      <c r="F23" s="40"/>
      <c r="G23" s="40" t="str">
        <f>BuscarCoincidencias(C23,SW_Req!$D$7:$D$1000,SW_Req!$C$7:$C$1000)</f>
        <v/>
      </c>
    </row>
    <row r="24" spans="2:7" ht="14.45" customHeight="1" x14ac:dyDescent="0.25">
      <c r="B24" s="96"/>
      <c r="C24" s="73" t="s">
        <v>241</v>
      </c>
      <c r="E24" s="33"/>
      <c r="F24" s="44"/>
      <c r="G24" s="91" t="str">
        <f>BuscarCoincidencias(C24,SW_Req!$D$7:$D$1000,SW_Req!$C$7:$C$1000)</f>
        <v/>
      </c>
    </row>
    <row r="25" spans="2:7" ht="14.45" customHeight="1" x14ac:dyDescent="0.25">
      <c r="B25" s="39"/>
      <c r="C25" s="39" t="s">
        <v>242</v>
      </c>
      <c r="D25" s="39"/>
      <c r="E25" s="40"/>
      <c r="F25" s="40"/>
      <c r="G25" s="40" t="str">
        <f>BuscarCoincidencias(C25,SW_Req!$D$7:$D$1000,SW_Req!$C$7:$C$1000)</f>
        <v/>
      </c>
    </row>
    <row r="26" spans="2:7" ht="15" customHeight="1" x14ac:dyDescent="0.25">
      <c r="B26" s="96"/>
      <c r="C26" s="73" t="s">
        <v>243</v>
      </c>
      <c r="D26" s="96"/>
      <c r="E26" s="33"/>
      <c r="F26" s="44"/>
      <c r="G26" s="91" t="str">
        <f>BuscarCoincidencias(C26,SW_Req!$D$7:$D$1000,SW_Req!$C$7:$C$1000)</f>
        <v/>
      </c>
    </row>
    <row r="27" spans="2:7" x14ac:dyDescent="0.25">
      <c r="C27" s="25" t="s">
        <v>244</v>
      </c>
    </row>
    <row r="28" spans="2:7" x14ac:dyDescent="0.25">
      <c r="C28" s="25" t="s">
        <v>245</v>
      </c>
    </row>
    <row r="29" spans="2:7" x14ac:dyDescent="0.25">
      <c r="C29" s="25" t="s">
        <v>246</v>
      </c>
    </row>
    <row r="30" spans="2:7" x14ac:dyDescent="0.25">
      <c r="C30" s="25" t="s">
        <v>247</v>
      </c>
    </row>
    <row r="31" spans="2:7" x14ac:dyDescent="0.25">
      <c r="C31" s="25" t="s">
        <v>248</v>
      </c>
      <c r="E31" s="87" t="s">
        <v>632</v>
      </c>
    </row>
    <row r="32" spans="2:7" x14ac:dyDescent="0.25">
      <c r="C32" s="25" t="s">
        <v>249</v>
      </c>
      <c r="E32" s="87" t="s">
        <v>631</v>
      </c>
    </row>
    <row r="33" spans="3:3" x14ac:dyDescent="0.25">
      <c r="C33" s="25" t="s">
        <v>250</v>
      </c>
    </row>
    <row r="34" spans="3:3" x14ac:dyDescent="0.25">
      <c r="C34" s="25" t="s">
        <v>251</v>
      </c>
    </row>
    <row r="35" spans="3:3" x14ac:dyDescent="0.25">
      <c r="C35" s="25" t="s">
        <v>252</v>
      </c>
    </row>
    <row r="36" spans="3:3" x14ac:dyDescent="0.25">
      <c r="C36" s="25" t="s">
        <v>253</v>
      </c>
    </row>
    <row r="37" spans="3:3" x14ac:dyDescent="0.25">
      <c r="C37" s="25" t="s">
        <v>254</v>
      </c>
    </row>
    <row r="38" spans="3:3" x14ac:dyDescent="0.25">
      <c r="C38" s="25" t="s">
        <v>255</v>
      </c>
    </row>
    <row r="39" spans="3:3" x14ac:dyDescent="0.25">
      <c r="C39" s="25" t="s">
        <v>256</v>
      </c>
    </row>
    <row r="40" spans="3:3" x14ac:dyDescent="0.25">
      <c r="C40" s="25" t="s">
        <v>257</v>
      </c>
    </row>
    <row r="41" spans="3:3" x14ac:dyDescent="0.25">
      <c r="C41" s="25" t="s">
        <v>258</v>
      </c>
    </row>
    <row r="42" spans="3:3" x14ac:dyDescent="0.25">
      <c r="C42" s="25" t="s">
        <v>259</v>
      </c>
    </row>
    <row r="43" spans="3:3" x14ac:dyDescent="0.25">
      <c r="C43" s="25" t="s">
        <v>260</v>
      </c>
    </row>
    <row r="44" spans="3:3" x14ac:dyDescent="0.25">
      <c r="C44" s="25" t="s">
        <v>261</v>
      </c>
    </row>
    <row r="45" spans="3:3" x14ac:dyDescent="0.25">
      <c r="C45" s="25" t="s">
        <v>262</v>
      </c>
    </row>
    <row r="46" spans="3:3" x14ac:dyDescent="0.25">
      <c r="C46" s="25" t="s">
        <v>263</v>
      </c>
    </row>
    <row r="47" spans="3:3" x14ac:dyDescent="0.25">
      <c r="C47" s="25" t="s">
        <v>264</v>
      </c>
    </row>
    <row r="48" spans="3:3" x14ac:dyDescent="0.25">
      <c r="C48" s="25" t="s">
        <v>265</v>
      </c>
    </row>
    <row r="49" spans="3:3" x14ac:dyDescent="0.25">
      <c r="C49" s="25" t="s">
        <v>266</v>
      </c>
    </row>
    <row r="50" spans="3:3" x14ac:dyDescent="0.25">
      <c r="C50" s="25" t="s">
        <v>267</v>
      </c>
    </row>
    <row r="51" spans="3:3" x14ac:dyDescent="0.25">
      <c r="C51" s="25" t="s">
        <v>268</v>
      </c>
    </row>
    <row r="52" spans="3:3" x14ac:dyDescent="0.25">
      <c r="C52" s="25" t="s">
        <v>269</v>
      </c>
    </row>
    <row r="53" spans="3:3" x14ac:dyDescent="0.25">
      <c r="C53" s="25" t="s">
        <v>270</v>
      </c>
    </row>
    <row r="54" spans="3:3" x14ac:dyDescent="0.25">
      <c r="C54" s="25" t="s">
        <v>271</v>
      </c>
    </row>
    <row r="55" spans="3:3" x14ac:dyDescent="0.25">
      <c r="C55" s="25" t="s">
        <v>272</v>
      </c>
    </row>
    <row r="56" spans="3:3" x14ac:dyDescent="0.25">
      <c r="C56" s="25" t="s">
        <v>273</v>
      </c>
    </row>
    <row r="57" spans="3:3" x14ac:dyDescent="0.25">
      <c r="C57" s="25" t="s">
        <v>274</v>
      </c>
    </row>
    <row r="58" spans="3:3" x14ac:dyDescent="0.25">
      <c r="C58" s="25" t="s">
        <v>275</v>
      </c>
    </row>
    <row r="59" spans="3:3" x14ac:dyDescent="0.25">
      <c r="C59" s="25" t="s">
        <v>276</v>
      </c>
    </row>
    <row r="60" spans="3:3" ht="62.25" customHeight="1" x14ac:dyDescent="0.25">
      <c r="C60" s="25" t="s">
        <v>277</v>
      </c>
    </row>
    <row r="61" spans="3:3" x14ac:dyDescent="0.25">
      <c r="C61" s="25" t="s">
        <v>278</v>
      </c>
    </row>
    <row r="62" spans="3:3" x14ac:dyDescent="0.25">
      <c r="C62" s="25" t="s">
        <v>279</v>
      </c>
    </row>
    <row r="63" spans="3:3" x14ac:dyDescent="0.25">
      <c r="C63" s="25" t="s">
        <v>280</v>
      </c>
    </row>
    <row r="64" spans="3:3" x14ac:dyDescent="0.25">
      <c r="C64" s="25" t="s">
        <v>281</v>
      </c>
    </row>
    <row r="65" spans="3:3" x14ac:dyDescent="0.25">
      <c r="C65" s="25" t="s">
        <v>282</v>
      </c>
    </row>
    <row r="66" spans="3:3" x14ac:dyDescent="0.25">
      <c r="C66" s="25" t="s">
        <v>283</v>
      </c>
    </row>
    <row r="67" spans="3:3" x14ac:dyDescent="0.25">
      <c r="C67" s="25" t="s">
        <v>284</v>
      </c>
    </row>
    <row r="68" spans="3:3" x14ac:dyDescent="0.25">
      <c r="C68" s="25" t="s">
        <v>285</v>
      </c>
    </row>
    <row r="69" spans="3:3" x14ac:dyDescent="0.25">
      <c r="C69" s="25" t="s">
        <v>286</v>
      </c>
    </row>
    <row r="70" spans="3:3" x14ac:dyDescent="0.25">
      <c r="C70" s="25" t="s">
        <v>287</v>
      </c>
    </row>
    <row r="71" spans="3:3" x14ac:dyDescent="0.25">
      <c r="C71" s="25" t="s">
        <v>288</v>
      </c>
    </row>
    <row r="72" spans="3:3" x14ac:dyDescent="0.25">
      <c r="C72" s="25" t="s">
        <v>289</v>
      </c>
    </row>
    <row r="73" spans="3:3" x14ac:dyDescent="0.25">
      <c r="C73" s="25" t="s">
        <v>290</v>
      </c>
    </row>
    <row r="74" spans="3:3" x14ac:dyDescent="0.25">
      <c r="C74" s="25" t="s">
        <v>291</v>
      </c>
    </row>
    <row r="75" spans="3:3" x14ac:dyDescent="0.25">
      <c r="C75" s="25" t="s">
        <v>292</v>
      </c>
    </row>
    <row r="76" spans="3:3" x14ac:dyDescent="0.25">
      <c r="C76" s="25" t="s">
        <v>293</v>
      </c>
    </row>
    <row r="77" spans="3:3" x14ac:dyDescent="0.25">
      <c r="C77" s="25" t="s">
        <v>294</v>
      </c>
    </row>
    <row r="78" spans="3:3" x14ac:dyDescent="0.25">
      <c r="C78" s="25" t="s">
        <v>295</v>
      </c>
    </row>
    <row r="102" spans="2:13" x14ac:dyDescent="0.25">
      <c r="B102" s="75" t="s">
        <v>79</v>
      </c>
      <c r="C102" s="24"/>
      <c r="D102" s="75"/>
      <c r="E102" s="86"/>
      <c r="F102" s="86"/>
      <c r="G102" s="75"/>
      <c r="H102" s="24"/>
      <c r="I102" s="24"/>
      <c r="J102" s="24"/>
      <c r="K102" s="24"/>
      <c r="L102" s="24"/>
      <c r="M102" s="24"/>
    </row>
    <row r="103" spans="2:13" x14ac:dyDescent="0.25">
      <c r="C103" s="3" t="s">
        <v>50</v>
      </c>
      <c r="E103" s="87" t="s">
        <v>37</v>
      </c>
      <c r="F103" s="87" t="s">
        <v>38</v>
      </c>
      <c r="G103" s="11" t="s">
        <v>24</v>
      </c>
      <c r="H103" s="3" t="s">
        <v>24</v>
      </c>
      <c r="J103" s="3" t="s">
        <v>30</v>
      </c>
    </row>
    <row r="104" spans="2:13" x14ac:dyDescent="0.25">
      <c r="B104" s="11" t="s">
        <v>80</v>
      </c>
      <c r="C104" s="23" t="str">
        <f ca="1">HYPERLINK(CELL("direccion",SYS_Req!C13), SYS_Req!C13)</f>
        <v>SYS007</v>
      </c>
      <c r="D104" s="76"/>
      <c r="E104" s="87" t="s">
        <v>17</v>
      </c>
      <c r="F104" s="87" t="s">
        <v>39</v>
      </c>
      <c r="G104" s="11" t="str">
        <f>SYS_Req!C35</f>
        <v>SYS029</v>
      </c>
      <c r="H104" s="3" t="str">
        <f>SYS_Req!C35</f>
        <v>SYS029</v>
      </c>
      <c r="I104" s="3" t="s">
        <v>46</v>
      </c>
      <c r="J104" s="3" t="str">
        <f>_xlfn.CONCAT(SYS_Req!C31,",",SYS_Req!C32)</f>
        <v>SYS025,SYS026</v>
      </c>
      <c r="K104" s="27" t="s">
        <v>70</v>
      </c>
    </row>
    <row r="105" spans="2:13" x14ac:dyDescent="0.25">
      <c r="B105" s="11" t="s">
        <v>81</v>
      </c>
      <c r="C105" s="23" t="str">
        <f ca="1">HYPERLINK(CELL("direccion",SYS_Req!C14), SYS_Req!C14)</f>
        <v>SYS008</v>
      </c>
      <c r="D105" s="76"/>
      <c r="E105" s="87" t="s">
        <v>18</v>
      </c>
      <c r="F105" s="87" t="s">
        <v>39</v>
      </c>
      <c r="G105" s="11" t="str">
        <f>SYS_Req!C40</f>
        <v>SYS034</v>
      </c>
      <c r="H105" s="3" t="str">
        <f>SYS_Req!C40</f>
        <v>SYS034</v>
      </c>
      <c r="I105" s="3" t="s">
        <v>47</v>
      </c>
      <c r="J105" s="3" t="str">
        <f>_xlfn.CONCAT(SYS_Req!C36,",",SYS_Req!C37)</f>
        <v>SYS030,SYS031</v>
      </c>
    </row>
    <row r="106" spans="2:13" x14ac:dyDescent="0.25">
      <c r="B106" s="11" t="s">
        <v>82</v>
      </c>
      <c r="C106" s="23" t="str">
        <f ca="1">HYPERLINK(CELL("direccion",SYS_Req!C16), SYS_Req!C16)</f>
        <v>SYS010</v>
      </c>
      <c r="D106" s="76"/>
      <c r="E106" s="87" t="s">
        <v>19</v>
      </c>
      <c r="F106" s="87" t="s">
        <v>39</v>
      </c>
      <c r="G106" s="11" t="str">
        <f>SYS_Req!C45</f>
        <v>SYS039</v>
      </c>
      <c r="H106" s="3" t="str">
        <f>SYS_Req!C45</f>
        <v>SYS039</v>
      </c>
      <c r="I106" s="3" t="s">
        <v>48</v>
      </c>
      <c r="J106" s="3" t="str">
        <f>_xlfn.CONCAT(SYS_Req!C43,",",SYS_Req!C44)</f>
        <v>SYS037,SYS038</v>
      </c>
    </row>
    <row r="107" spans="2:13" x14ac:dyDescent="0.25">
      <c r="B107" s="11" t="s">
        <v>83</v>
      </c>
      <c r="C107" s="3" t="str">
        <f>SYS_Req!C17</f>
        <v>SYS011</v>
      </c>
      <c r="E107" s="87" t="s">
        <v>20</v>
      </c>
      <c r="F107" s="87" t="s">
        <v>39</v>
      </c>
      <c r="G107" s="11" t="str">
        <f>SYS_Req!C40</f>
        <v>SYS034</v>
      </c>
      <c r="H107" s="3" t="str">
        <f>SYS_Req!C40</f>
        <v>SYS034</v>
      </c>
      <c r="I107" s="3" t="s">
        <v>47</v>
      </c>
      <c r="J107" s="3" t="str">
        <f>_xlfn.CONCAT(SYS_Req!C36,",",SYS_Req!C37)</f>
        <v>SYS030,SYS031</v>
      </c>
    </row>
    <row r="108" spans="2:13" x14ac:dyDescent="0.25">
      <c r="B108" s="11" t="s">
        <v>84</v>
      </c>
      <c r="C108" s="3" t="str">
        <f>SYS_Req!C18</f>
        <v>SYS012</v>
      </c>
      <c r="E108" s="87" t="s">
        <v>21</v>
      </c>
      <c r="F108" s="87" t="s">
        <v>39</v>
      </c>
      <c r="G108" s="11" t="str">
        <f>SYS_Req!C23</f>
        <v>SYS017</v>
      </c>
      <c r="H108" s="3" t="str">
        <f>SYS_Req!C23</f>
        <v>SYS017</v>
      </c>
      <c r="I108" s="3" t="s">
        <v>25</v>
      </c>
      <c r="J108" s="3" t="str">
        <f>SYS_Req!C21</f>
        <v>SYS015</v>
      </c>
      <c r="K108" s="3" t="s">
        <v>31</v>
      </c>
    </row>
    <row r="109" spans="2:13" x14ac:dyDescent="0.25">
      <c r="B109" s="11" t="s">
        <v>85</v>
      </c>
      <c r="C109" s="3" t="str">
        <f>SYS_Req!C19</f>
        <v>SYS013</v>
      </c>
      <c r="E109" s="87" t="s">
        <v>22</v>
      </c>
      <c r="F109" s="87" t="s">
        <v>39</v>
      </c>
      <c r="G109" s="11" t="str">
        <f>SYS_Req!C26</f>
        <v>SYS020</v>
      </c>
      <c r="H109" s="3" t="str">
        <f>SYS_Req!C26</f>
        <v>SYS020</v>
      </c>
      <c r="I109" s="3" t="s">
        <v>25</v>
      </c>
      <c r="J109" s="3" t="str">
        <f>SYS_Req!C24</f>
        <v>SYS018</v>
      </c>
      <c r="K109" s="3" t="s">
        <v>31</v>
      </c>
    </row>
    <row r="110" spans="2:13" x14ac:dyDescent="0.25">
      <c r="B110" s="11" t="s">
        <v>86</v>
      </c>
      <c r="C110" s="3" t="str">
        <f>SYS_Req!C27</f>
        <v>SYS021</v>
      </c>
      <c r="E110" s="87" t="s">
        <v>34</v>
      </c>
      <c r="F110" s="87" t="s">
        <v>39</v>
      </c>
    </row>
    <row r="111" spans="2:13" x14ac:dyDescent="0.25">
      <c r="B111" s="11" t="s">
        <v>87</v>
      </c>
      <c r="C111" s="3" t="str">
        <f>SYS_Req!C10</f>
        <v>SYS004</v>
      </c>
      <c r="E111" s="87" t="s">
        <v>33</v>
      </c>
      <c r="F111" s="87" t="s">
        <v>39</v>
      </c>
    </row>
    <row r="112" spans="2:13" x14ac:dyDescent="0.25">
      <c r="B112" s="11" t="s">
        <v>88</v>
      </c>
      <c r="C112" s="3" t="str">
        <f>SYS_Req!C20</f>
        <v>SYS014</v>
      </c>
      <c r="E112" s="87" t="s">
        <v>23</v>
      </c>
      <c r="F112" s="87" t="s">
        <v>39</v>
      </c>
      <c r="G112" s="11" t="str">
        <f>SYS_Req!C7</f>
        <v>SYS001</v>
      </c>
      <c r="H112" s="3" t="str">
        <f>SYS_Req!C7</f>
        <v>SYS001</v>
      </c>
      <c r="I112" s="3" t="s">
        <v>25</v>
      </c>
      <c r="J112" s="3" t="str">
        <f>SYS_Req!C95</f>
        <v>SYS089</v>
      </c>
      <c r="K112" s="3" t="s">
        <v>32</v>
      </c>
    </row>
    <row r="113" spans="2:12" x14ac:dyDescent="0.25">
      <c r="B113" s="11" t="s">
        <v>89</v>
      </c>
      <c r="C113" s="3" t="str">
        <f>SYS_Req!C28</f>
        <v>SYS022</v>
      </c>
      <c r="E113" s="87" t="s">
        <v>35</v>
      </c>
      <c r="F113" s="87" t="s">
        <v>40</v>
      </c>
    </row>
    <row r="114" spans="2:12" x14ac:dyDescent="0.25">
      <c r="B114" s="11" t="s">
        <v>90</v>
      </c>
      <c r="C114" s="3" t="str">
        <f>SYS_Req!C28</f>
        <v>SYS022</v>
      </c>
      <c r="E114" s="87" t="s">
        <v>94</v>
      </c>
      <c r="F114" s="87" t="s">
        <v>40</v>
      </c>
    </row>
    <row r="115" spans="2:12" x14ac:dyDescent="0.25">
      <c r="B115" s="11" t="s">
        <v>91</v>
      </c>
      <c r="C115" s="3" t="str">
        <f>SYS_Req!C28</f>
        <v>SYS022</v>
      </c>
      <c r="E115" s="87" t="s">
        <v>95</v>
      </c>
      <c r="F115" s="87" t="s">
        <v>40</v>
      </c>
    </row>
    <row r="116" spans="2:12" x14ac:dyDescent="0.25">
      <c r="B116" s="11" t="s">
        <v>92</v>
      </c>
      <c r="C116" s="3" t="str">
        <f>SYS_Req!C28</f>
        <v>SYS022</v>
      </c>
      <c r="E116" s="87" t="s">
        <v>96</v>
      </c>
      <c r="F116" s="87" t="s">
        <v>40</v>
      </c>
    </row>
    <row r="117" spans="2:12" x14ac:dyDescent="0.25">
      <c r="B117" s="11" t="s">
        <v>93</v>
      </c>
      <c r="C117" s="3" t="str">
        <f>SYS_Req!C52</f>
        <v>SYS046</v>
      </c>
      <c r="E117" s="87" t="s">
        <v>56</v>
      </c>
      <c r="F117" s="87" t="s">
        <v>40</v>
      </c>
    </row>
    <row r="119" spans="2:12" x14ac:dyDescent="0.25">
      <c r="B119" s="75" t="s">
        <v>78</v>
      </c>
      <c r="L119" s="23"/>
    </row>
    <row r="120" spans="2:12" x14ac:dyDescent="0.25">
      <c r="B120" s="11" t="s">
        <v>49</v>
      </c>
      <c r="C120" s="3" t="str">
        <f>_xlfn.CONCAT(B104,"-",B107)</f>
        <v>SG_SW001-SG_SW004</v>
      </c>
      <c r="E120" s="87" t="s">
        <v>28</v>
      </c>
    </row>
    <row r="121" spans="2:12" x14ac:dyDescent="0.25">
      <c r="B121" s="11" t="s">
        <v>51</v>
      </c>
      <c r="C121" s="3" t="str">
        <f>_xlfn.CONCAT(B108,"-",B111)</f>
        <v>SG_SW005-SG_SW008</v>
      </c>
      <c r="E121" s="87" t="s">
        <v>27</v>
      </c>
    </row>
    <row r="122" spans="2:12" x14ac:dyDescent="0.25">
      <c r="B122" s="11" t="s">
        <v>52</v>
      </c>
      <c r="C122" s="3" t="str">
        <f>B112</f>
        <v>SG_SW009</v>
      </c>
      <c r="E122" s="87" t="s">
        <v>26</v>
      </c>
      <c r="I122" s="23"/>
    </row>
    <row r="123" spans="2:12" x14ac:dyDescent="0.25">
      <c r="B123" s="11" t="s">
        <v>53</v>
      </c>
      <c r="C123" s="3" t="str">
        <f>_xlfn.CONCAT(B113,"-",B116)</f>
        <v>SG_SW010-SG_SW013</v>
      </c>
      <c r="E123" s="87" t="s">
        <v>36</v>
      </c>
    </row>
    <row r="124" spans="2:12" x14ac:dyDescent="0.25">
      <c r="B124" s="11" t="s">
        <v>57</v>
      </c>
      <c r="C124" s="3" t="e">
        <f>SYS_Req!#REF!</f>
        <v>#REF!</v>
      </c>
      <c r="E124" s="87" t="s">
        <v>54</v>
      </c>
    </row>
    <row r="125" spans="2:12" x14ac:dyDescent="0.25">
      <c r="B125" s="11" t="s">
        <v>58</v>
      </c>
      <c r="C125" s="3" t="str">
        <f>_xlfn.CONCAT(B104,"-",B107)</f>
        <v>SG_SW001-SG_SW004</v>
      </c>
      <c r="E125" s="87" t="s">
        <v>55</v>
      </c>
    </row>
    <row r="126" spans="2:12" x14ac:dyDescent="0.25">
      <c r="B126" s="11" t="s">
        <v>59</v>
      </c>
      <c r="C126" s="3" t="str">
        <f>B117</f>
        <v>SG_SW014</v>
      </c>
      <c r="E126" s="87" t="s">
        <v>56</v>
      </c>
    </row>
    <row r="127" spans="2:12" x14ac:dyDescent="0.25">
      <c r="B127" s="11" t="s">
        <v>61</v>
      </c>
      <c r="C127" s="3" t="str">
        <f>B126</f>
        <v>PR_SW007</v>
      </c>
      <c r="E127" s="87" t="s">
        <v>60</v>
      </c>
    </row>
    <row r="128" spans="2:12" x14ac:dyDescent="0.25">
      <c r="B128" s="11" t="s">
        <v>66</v>
      </c>
      <c r="C128" s="3" t="e">
        <f>SYS_Req!#REF!</f>
        <v>#REF!</v>
      </c>
      <c r="E128" s="87" t="s">
        <v>62</v>
      </c>
    </row>
    <row r="129" spans="2:5" x14ac:dyDescent="0.25">
      <c r="B129" s="11" t="s">
        <v>67</v>
      </c>
      <c r="C129" s="3" t="str">
        <f>_xlfn.CONCAT(B104,"-",B107)</f>
        <v>SG_SW001-SG_SW004</v>
      </c>
      <c r="E129" s="87" t="s">
        <v>63</v>
      </c>
    </row>
    <row r="130" spans="2:5" x14ac:dyDescent="0.25">
      <c r="B130" s="11" t="s">
        <v>68</v>
      </c>
      <c r="C130" s="3" t="str">
        <f>_xlfn.CONCAT(SYS_Req!C66,"-",SYS_Req!C71)</f>
        <v>SYS060-SYS065</v>
      </c>
      <c r="E130" s="87" t="s">
        <v>65</v>
      </c>
    </row>
    <row r="132" spans="2:5" x14ac:dyDescent="0.25">
      <c r="B132" s="75" t="s">
        <v>41</v>
      </c>
    </row>
    <row r="133" spans="2:5" x14ac:dyDescent="0.25">
      <c r="B133" s="11" t="s">
        <v>71</v>
      </c>
      <c r="C133" s="26" t="s">
        <v>72</v>
      </c>
      <c r="D133" s="74"/>
      <c r="E133" s="87" t="s">
        <v>73</v>
      </c>
    </row>
    <row r="134" spans="2:5" x14ac:dyDescent="0.25">
      <c r="B134" s="11" t="s">
        <v>74</v>
      </c>
      <c r="C134" s="3" t="e">
        <f>SYS_Req!#REF!</f>
        <v>#REF!</v>
      </c>
      <c r="E134" s="87" t="s">
        <v>42</v>
      </c>
    </row>
    <row r="135" spans="2:5" x14ac:dyDescent="0.25">
      <c r="B135" s="11" t="s">
        <v>75</v>
      </c>
      <c r="C135" s="3" t="str">
        <f>SYS_Req!C59</f>
        <v>SYS053</v>
      </c>
      <c r="E135" s="87" t="s">
        <v>43</v>
      </c>
    </row>
    <row r="136" spans="2:5" x14ac:dyDescent="0.25">
      <c r="B136" s="11" t="s">
        <v>76</v>
      </c>
      <c r="C136" s="3" t="str">
        <f>SYS_Req!C60</f>
        <v>SYS054</v>
      </c>
      <c r="E136" s="87" t="s">
        <v>44</v>
      </c>
    </row>
    <row r="137" spans="2:5" x14ac:dyDescent="0.25">
      <c r="B137" s="11" t="s">
        <v>77</v>
      </c>
      <c r="C137" s="3" t="str">
        <f>SYS_Req!C61</f>
        <v>SYS055</v>
      </c>
      <c r="E137" s="87" t="s">
        <v>45</v>
      </c>
    </row>
    <row r="138" spans="2:5" x14ac:dyDescent="0.25">
      <c r="C138" s="28"/>
      <c r="D138" s="77"/>
    </row>
    <row r="139" spans="2:5" x14ac:dyDescent="0.25">
      <c r="B139" s="11" t="s">
        <v>64</v>
      </c>
    </row>
    <row r="141" spans="2:5" x14ac:dyDescent="0.25">
      <c r="B141" s="11" t="s">
        <v>69</v>
      </c>
    </row>
    <row r="148" spans="2:4" x14ac:dyDescent="0.25">
      <c r="B148" s="75" t="s">
        <v>97</v>
      </c>
    </row>
    <row r="150" spans="2:4" ht="90" x14ac:dyDescent="0.25">
      <c r="B150" s="11" t="s">
        <v>98</v>
      </c>
      <c r="C150" s="29" t="s">
        <v>99</v>
      </c>
      <c r="D150" s="78"/>
    </row>
    <row r="151" spans="2:4" ht="90" x14ac:dyDescent="0.25">
      <c r="B151" s="11" t="s">
        <v>100</v>
      </c>
      <c r="C151" s="30" t="s">
        <v>191</v>
      </c>
      <c r="D151" s="79"/>
    </row>
    <row r="152" spans="2:4" ht="135" x14ac:dyDescent="0.25">
      <c r="B152" s="11" t="s">
        <v>105</v>
      </c>
      <c r="C152" s="30" t="s">
        <v>106</v>
      </c>
      <c r="D152" s="79"/>
    </row>
    <row r="153" spans="2:4" ht="30" x14ac:dyDescent="0.25">
      <c r="B153" s="11" t="s">
        <v>109</v>
      </c>
      <c r="C153" s="30" t="s">
        <v>110</v>
      </c>
      <c r="D153" s="79"/>
    </row>
    <row r="154" spans="2:4" ht="165" x14ac:dyDescent="0.25">
      <c r="B154" s="11" t="s">
        <v>111</v>
      </c>
      <c r="C154" s="30" t="s">
        <v>112</v>
      </c>
      <c r="D154" s="79"/>
    </row>
    <row r="155" spans="2:4" ht="270" x14ac:dyDescent="0.25">
      <c r="B155" s="11" t="s">
        <v>113</v>
      </c>
      <c r="C155" s="31" t="s">
        <v>121</v>
      </c>
      <c r="D155" s="80"/>
    </row>
    <row r="156" spans="2:4" ht="60" x14ac:dyDescent="0.25">
      <c r="B156" s="11" t="s">
        <v>114</v>
      </c>
      <c r="C156" s="31" t="s">
        <v>122</v>
      </c>
      <c r="D156" s="80"/>
    </row>
    <row r="157" spans="2:4" ht="45" x14ac:dyDescent="0.25">
      <c r="B157" s="11" t="s">
        <v>115</v>
      </c>
      <c r="C157" s="30" t="s">
        <v>116</v>
      </c>
      <c r="D157" s="79"/>
    </row>
    <row r="158" spans="2:4" ht="240" x14ac:dyDescent="0.25">
      <c r="B158" s="11" t="s">
        <v>101</v>
      </c>
      <c r="C158" s="30" t="s">
        <v>103</v>
      </c>
      <c r="D158" s="79"/>
    </row>
    <row r="159" spans="2:4" ht="105" x14ac:dyDescent="0.25">
      <c r="B159" s="11" t="s">
        <v>117</v>
      </c>
      <c r="C159" s="30" t="s">
        <v>123</v>
      </c>
      <c r="D159" s="79"/>
    </row>
    <row r="160" spans="2:4" ht="120" x14ac:dyDescent="0.25">
      <c r="B160" s="11" t="s">
        <v>107</v>
      </c>
      <c r="C160" s="31" t="s">
        <v>124</v>
      </c>
      <c r="D160" s="80"/>
    </row>
    <row r="161" spans="2:6" ht="210" x14ac:dyDescent="0.25">
      <c r="B161" s="11" t="s">
        <v>102</v>
      </c>
      <c r="C161" s="31" t="s">
        <v>104</v>
      </c>
      <c r="D161" s="80"/>
      <c r="F161" s="88"/>
    </row>
    <row r="162" spans="2:6" ht="240" x14ac:dyDescent="0.25">
      <c r="B162" s="11" t="s">
        <v>118</v>
      </c>
      <c r="C162" s="31" t="s">
        <v>120</v>
      </c>
      <c r="D162" s="80"/>
    </row>
    <row r="163" spans="2:6" ht="315" x14ac:dyDescent="0.25">
      <c r="B163" s="11" t="s">
        <v>108</v>
      </c>
      <c r="C163" s="31" t="s">
        <v>119</v>
      </c>
      <c r="D163" s="80"/>
    </row>
  </sheetData>
  <mergeCells count="7">
    <mergeCell ref="G5:G6"/>
    <mergeCell ref="B2:G4"/>
    <mergeCell ref="B5:B6"/>
    <mergeCell ref="C5:C6"/>
    <mergeCell ref="D5:D6"/>
    <mergeCell ref="E5:E6"/>
    <mergeCell ref="F5:F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B42:M106"/>
  <sheetViews>
    <sheetView topLeftCell="A97" workbookViewId="0">
      <selection activeCell="D104" sqref="D104"/>
    </sheetView>
  </sheetViews>
  <sheetFormatPr baseColWidth="10" defaultRowHeight="15" x14ac:dyDescent="0.25"/>
  <cols>
    <col min="4" max="4" width="67" customWidth="1"/>
  </cols>
  <sheetData>
    <row r="42" spans="2:13" x14ac:dyDescent="0.25">
      <c r="B42" s="3"/>
      <c r="C42" s="11"/>
      <c r="D42" s="3"/>
      <c r="E42" s="11"/>
      <c r="F42" s="83"/>
      <c r="G42" s="87"/>
      <c r="H42" s="11"/>
      <c r="I42" s="3"/>
      <c r="J42" s="3"/>
      <c r="K42" s="3"/>
      <c r="L42" s="3"/>
      <c r="M42" s="3"/>
    </row>
    <row r="43" spans="2:13" x14ac:dyDescent="0.25">
      <c r="B43" s="3"/>
      <c r="C43" s="75" t="s">
        <v>79</v>
      </c>
      <c r="D43" s="24"/>
      <c r="E43" s="75"/>
      <c r="F43" s="82"/>
      <c r="G43" s="86"/>
      <c r="H43" s="75"/>
      <c r="I43" s="24"/>
      <c r="J43" s="24"/>
      <c r="K43" s="24"/>
      <c r="L43" s="24"/>
      <c r="M43" s="24"/>
    </row>
    <row r="44" spans="2:13" x14ac:dyDescent="0.25">
      <c r="B44" s="3"/>
      <c r="C44" s="11"/>
      <c r="D44" s="3" t="s">
        <v>50</v>
      </c>
      <c r="E44" s="11"/>
      <c r="F44" s="83" t="s">
        <v>37</v>
      </c>
      <c r="G44" s="87" t="s">
        <v>38</v>
      </c>
      <c r="H44" s="11" t="s">
        <v>24</v>
      </c>
      <c r="I44" s="3"/>
      <c r="J44" s="3" t="s">
        <v>30</v>
      </c>
      <c r="K44" s="3"/>
      <c r="L44" s="3"/>
      <c r="M44" s="3"/>
    </row>
    <row r="45" spans="2:13" x14ac:dyDescent="0.25">
      <c r="B45" s="3"/>
      <c r="C45" s="11" t="s">
        <v>80</v>
      </c>
      <c r="D45" s="23" t="str">
        <f ca="1">HYPERLINK(CELL("direccion",SYS_Req!C13), SYS_Req!C13)</f>
        <v>SYS007</v>
      </c>
      <c r="E45" s="76"/>
      <c r="F45" s="83" t="s">
        <v>17</v>
      </c>
      <c r="G45" s="87" t="s">
        <v>39</v>
      </c>
      <c r="H45" s="11" t="str">
        <f>SYS_Req!C35</f>
        <v>SYS029</v>
      </c>
      <c r="I45" s="3" t="s">
        <v>46</v>
      </c>
      <c r="J45" s="3" t="str">
        <f>_xlfn.CONCAT(SYS_Req!C31,",",SYS_Req!C32)</f>
        <v>SYS025,SYS026</v>
      </c>
      <c r="K45" s="27" t="s">
        <v>70</v>
      </c>
      <c r="L45" s="3"/>
      <c r="M45" s="3"/>
    </row>
    <row r="46" spans="2:13" x14ac:dyDescent="0.25">
      <c r="B46" s="3"/>
      <c r="C46" s="11" t="s">
        <v>81</v>
      </c>
      <c r="D46" s="23" t="str">
        <f ca="1">HYPERLINK(CELL("direccion",SYS_Req!C14), SYS_Req!C14)</f>
        <v>SYS008</v>
      </c>
      <c r="E46" s="76"/>
      <c r="F46" s="83" t="s">
        <v>18</v>
      </c>
      <c r="G46" s="87" t="s">
        <v>39</v>
      </c>
      <c r="H46" s="11" t="str">
        <f>SYS_Req!C40</f>
        <v>SYS034</v>
      </c>
      <c r="I46" s="3" t="s">
        <v>47</v>
      </c>
      <c r="J46" s="3" t="str">
        <f>_xlfn.CONCAT(SYS_Req!C36,",",SYS_Req!C37)</f>
        <v>SYS030,SYS031</v>
      </c>
      <c r="K46" s="3"/>
      <c r="L46" s="3"/>
      <c r="M46" s="3"/>
    </row>
    <row r="47" spans="2:13" x14ac:dyDescent="0.25">
      <c r="B47" s="3"/>
      <c r="C47" s="11" t="s">
        <v>82</v>
      </c>
      <c r="D47" s="23" t="str">
        <f ca="1">HYPERLINK(CELL("direccion",SYS_Req!C16), SYS_Req!C16)</f>
        <v>SYS010</v>
      </c>
      <c r="E47" s="76"/>
      <c r="F47" s="83" t="s">
        <v>19</v>
      </c>
      <c r="G47" s="87" t="s">
        <v>39</v>
      </c>
      <c r="H47" s="11" t="str">
        <f>SYS_Req!C45</f>
        <v>SYS039</v>
      </c>
      <c r="I47" s="3" t="s">
        <v>48</v>
      </c>
      <c r="J47" s="3" t="str">
        <f>_xlfn.CONCAT(SYS_Req!C43,",",SYS_Req!C44)</f>
        <v>SYS037,SYS038</v>
      </c>
      <c r="K47" s="3"/>
      <c r="L47" s="3"/>
      <c r="M47" s="3"/>
    </row>
    <row r="48" spans="2:13" x14ac:dyDescent="0.25">
      <c r="B48" s="3"/>
      <c r="C48" s="11" t="s">
        <v>83</v>
      </c>
      <c r="D48" s="3" t="str">
        <f>SYS_Req!C17</f>
        <v>SYS011</v>
      </c>
      <c r="E48" s="11"/>
      <c r="F48" s="83" t="s">
        <v>20</v>
      </c>
      <c r="G48" s="87" t="s">
        <v>39</v>
      </c>
      <c r="H48" s="11" t="str">
        <f>SYS_Req!C40</f>
        <v>SYS034</v>
      </c>
      <c r="I48" s="3" t="s">
        <v>47</v>
      </c>
      <c r="J48" s="3" t="str">
        <f>_xlfn.CONCAT(SYS_Req!C36,",",SYS_Req!C37)</f>
        <v>SYS030,SYS031</v>
      </c>
      <c r="K48" s="3"/>
      <c r="L48" s="3"/>
      <c r="M48" s="3"/>
    </row>
    <row r="49" spans="2:13" x14ac:dyDescent="0.25">
      <c r="B49" s="3"/>
      <c r="C49" s="11" t="s">
        <v>84</v>
      </c>
      <c r="D49" s="3" t="str">
        <f>SYS_Req!C18</f>
        <v>SYS012</v>
      </c>
      <c r="E49" s="11"/>
      <c r="F49" s="83" t="s">
        <v>21</v>
      </c>
      <c r="G49" s="87" t="s">
        <v>39</v>
      </c>
      <c r="H49" s="11" t="str">
        <f>SYS_Req!C23</f>
        <v>SYS017</v>
      </c>
      <c r="I49" s="3" t="s">
        <v>25</v>
      </c>
      <c r="J49" s="3" t="str">
        <f>SYS_Req!C21</f>
        <v>SYS015</v>
      </c>
      <c r="K49" s="3" t="s">
        <v>31</v>
      </c>
      <c r="L49" s="3"/>
      <c r="M49" s="3"/>
    </row>
    <row r="50" spans="2:13" x14ac:dyDescent="0.25">
      <c r="B50" s="3"/>
      <c r="C50" s="11" t="s">
        <v>85</v>
      </c>
      <c r="D50" s="3" t="str">
        <f>SYS_Req!C19</f>
        <v>SYS013</v>
      </c>
      <c r="E50" s="11"/>
      <c r="F50" s="83" t="s">
        <v>22</v>
      </c>
      <c r="G50" s="87" t="s">
        <v>39</v>
      </c>
      <c r="H50" s="11" t="str">
        <f>SYS_Req!C26</f>
        <v>SYS020</v>
      </c>
      <c r="I50" s="3" t="s">
        <v>25</v>
      </c>
      <c r="J50" s="3" t="str">
        <f>SYS_Req!C24</f>
        <v>SYS018</v>
      </c>
      <c r="K50" s="3" t="s">
        <v>31</v>
      </c>
      <c r="L50" s="3"/>
      <c r="M50" s="3"/>
    </row>
    <row r="51" spans="2:13" x14ac:dyDescent="0.25">
      <c r="B51" s="3"/>
      <c r="C51" s="11" t="s">
        <v>86</v>
      </c>
      <c r="D51" s="3" t="str">
        <f>SYS_Req!C27</f>
        <v>SYS021</v>
      </c>
      <c r="E51" s="11"/>
      <c r="F51" s="83" t="s">
        <v>34</v>
      </c>
      <c r="G51" s="87" t="s">
        <v>39</v>
      </c>
      <c r="H51" s="11"/>
      <c r="I51" s="3"/>
      <c r="J51" s="3"/>
      <c r="K51" s="3"/>
      <c r="L51" s="3"/>
      <c r="M51" s="3"/>
    </row>
    <row r="52" spans="2:13" x14ac:dyDescent="0.25">
      <c r="B52" s="3"/>
      <c r="C52" s="11" t="s">
        <v>87</v>
      </c>
      <c r="D52" s="3" t="str">
        <f>SYS_Req!C10</f>
        <v>SYS004</v>
      </c>
      <c r="E52" s="11"/>
      <c r="F52" s="83" t="s">
        <v>33</v>
      </c>
      <c r="G52" s="87" t="s">
        <v>39</v>
      </c>
      <c r="H52" s="11"/>
      <c r="I52" s="3"/>
      <c r="J52" s="3"/>
      <c r="K52" s="3"/>
      <c r="L52" s="3"/>
      <c r="M52" s="3"/>
    </row>
    <row r="53" spans="2:13" x14ac:dyDescent="0.25">
      <c r="B53" s="3"/>
      <c r="C53" s="11" t="s">
        <v>88</v>
      </c>
      <c r="D53" s="3" t="str">
        <f>SYS_Req!C20</f>
        <v>SYS014</v>
      </c>
      <c r="E53" s="11"/>
      <c r="F53" s="83" t="s">
        <v>23</v>
      </c>
      <c r="G53" s="87" t="s">
        <v>39</v>
      </c>
      <c r="H53" s="11" t="str">
        <f>SYS_Req!C7</f>
        <v>SYS001</v>
      </c>
      <c r="I53" s="3" t="s">
        <v>25</v>
      </c>
      <c r="J53" s="3" t="str">
        <f>SYS_Req!C95</f>
        <v>SYS089</v>
      </c>
      <c r="K53" s="3" t="s">
        <v>32</v>
      </c>
      <c r="L53" s="3"/>
      <c r="M53" s="3"/>
    </row>
    <row r="54" spans="2:13" x14ac:dyDescent="0.25">
      <c r="B54" s="3"/>
      <c r="C54" s="11" t="s">
        <v>89</v>
      </c>
      <c r="D54" s="3" t="str">
        <f>SYS_Req!C28</f>
        <v>SYS022</v>
      </c>
      <c r="E54" s="11"/>
      <c r="F54" s="83" t="s">
        <v>35</v>
      </c>
      <c r="G54" s="87" t="s">
        <v>40</v>
      </c>
      <c r="H54" s="11"/>
      <c r="I54" s="3"/>
      <c r="J54" s="3"/>
      <c r="K54" s="3"/>
      <c r="L54" s="3"/>
      <c r="M54" s="3"/>
    </row>
    <row r="55" spans="2:13" x14ac:dyDescent="0.25">
      <c r="B55" s="3"/>
      <c r="C55" s="11" t="s">
        <v>90</v>
      </c>
      <c r="D55" s="3" t="str">
        <f>SYS_Req!C28</f>
        <v>SYS022</v>
      </c>
      <c r="E55" s="11"/>
      <c r="F55" s="83" t="s">
        <v>94</v>
      </c>
      <c r="G55" s="87" t="s">
        <v>40</v>
      </c>
      <c r="H55" s="11"/>
      <c r="I55" s="3"/>
      <c r="J55" s="3"/>
      <c r="K55" s="3"/>
      <c r="L55" s="3"/>
      <c r="M55" s="3"/>
    </row>
    <row r="56" spans="2:13" x14ac:dyDescent="0.25">
      <c r="B56" s="3"/>
      <c r="C56" s="11" t="s">
        <v>91</v>
      </c>
      <c r="D56" s="3" t="str">
        <f>SYS_Req!C28</f>
        <v>SYS022</v>
      </c>
      <c r="E56" s="11"/>
      <c r="F56" s="83" t="s">
        <v>95</v>
      </c>
      <c r="G56" s="87" t="s">
        <v>40</v>
      </c>
      <c r="H56" s="11"/>
      <c r="I56" s="3"/>
      <c r="J56" s="3"/>
      <c r="K56" s="3"/>
      <c r="L56" s="3"/>
      <c r="M56" s="3"/>
    </row>
    <row r="57" spans="2:13" x14ac:dyDescent="0.25">
      <c r="B57" s="3"/>
      <c r="C57" s="11" t="s">
        <v>92</v>
      </c>
      <c r="D57" s="3" t="str">
        <f>SYS_Req!C28</f>
        <v>SYS022</v>
      </c>
      <c r="E57" s="11"/>
      <c r="F57" s="83" t="s">
        <v>96</v>
      </c>
      <c r="G57" s="87" t="s">
        <v>40</v>
      </c>
      <c r="H57" s="11"/>
      <c r="I57" s="3"/>
      <c r="J57" s="3"/>
      <c r="K57" s="3"/>
      <c r="L57" s="3"/>
      <c r="M57" s="3"/>
    </row>
    <row r="58" spans="2:13" x14ac:dyDescent="0.25">
      <c r="B58" s="3"/>
      <c r="C58" s="11" t="s">
        <v>93</v>
      </c>
      <c r="D58" s="3" t="str">
        <f>SYS_Req!C52</f>
        <v>SYS046</v>
      </c>
      <c r="E58" s="11"/>
      <c r="F58" s="83" t="s">
        <v>56</v>
      </c>
      <c r="G58" s="87" t="s">
        <v>40</v>
      </c>
      <c r="H58" s="11"/>
      <c r="I58" s="3"/>
      <c r="J58" s="3"/>
      <c r="K58" s="3"/>
      <c r="L58" s="3"/>
      <c r="M58" s="3"/>
    </row>
    <row r="59" spans="2:13" x14ac:dyDescent="0.25">
      <c r="B59" s="3"/>
      <c r="C59" s="11"/>
      <c r="D59" s="3"/>
      <c r="E59" s="11"/>
      <c r="F59" s="83"/>
      <c r="G59" s="87"/>
      <c r="H59" s="11"/>
      <c r="I59" s="3"/>
      <c r="J59" s="3"/>
      <c r="K59" s="3"/>
      <c r="L59" s="3"/>
      <c r="M59" s="3"/>
    </row>
    <row r="60" spans="2:13" x14ac:dyDescent="0.25">
      <c r="B60" s="3"/>
      <c r="C60" s="75" t="s">
        <v>78</v>
      </c>
      <c r="D60" s="3"/>
      <c r="E60" s="11"/>
      <c r="F60" s="83"/>
      <c r="G60" s="87"/>
      <c r="H60" s="11"/>
      <c r="I60" s="3"/>
      <c r="J60" s="3"/>
      <c r="K60" s="3"/>
      <c r="L60" s="23"/>
      <c r="M60" s="3"/>
    </row>
    <row r="61" spans="2:13" x14ac:dyDescent="0.25">
      <c r="B61" s="3"/>
      <c r="C61" s="11" t="s">
        <v>49</v>
      </c>
      <c r="D61" s="3" t="str">
        <f>_xlfn.CONCAT(C45,"-",C48)</f>
        <v>SG_SW001-SG_SW004</v>
      </c>
      <c r="E61" s="11"/>
      <c r="F61" s="83" t="s">
        <v>28</v>
      </c>
      <c r="G61" s="87"/>
      <c r="H61" s="11"/>
      <c r="I61" s="3"/>
      <c r="J61" s="3"/>
      <c r="K61" s="3"/>
      <c r="L61" s="3"/>
      <c r="M61" s="3"/>
    </row>
    <row r="62" spans="2:13" x14ac:dyDescent="0.25">
      <c r="B62" s="3"/>
      <c r="C62" s="11" t="s">
        <v>51</v>
      </c>
      <c r="D62" s="3" t="str">
        <f>_xlfn.CONCAT(C49,"-",C52)</f>
        <v>SG_SW005-SG_SW008</v>
      </c>
      <c r="E62" s="11"/>
      <c r="F62" s="83" t="s">
        <v>27</v>
      </c>
      <c r="G62" s="87"/>
      <c r="H62" s="11"/>
      <c r="I62" s="3"/>
      <c r="J62" s="3"/>
      <c r="K62" s="3"/>
      <c r="L62" s="3"/>
      <c r="M62" s="3"/>
    </row>
    <row r="63" spans="2:13" x14ac:dyDescent="0.25">
      <c r="B63" s="3"/>
      <c r="C63" s="11" t="s">
        <v>52</v>
      </c>
      <c r="D63" s="3" t="str">
        <f>C53</f>
        <v>SG_SW009</v>
      </c>
      <c r="E63" s="11"/>
      <c r="F63" s="83" t="s">
        <v>26</v>
      </c>
      <c r="G63" s="87"/>
      <c r="H63" s="11"/>
      <c r="I63" s="23"/>
      <c r="J63" s="3"/>
      <c r="K63" s="3"/>
      <c r="L63" s="3"/>
      <c r="M63" s="3"/>
    </row>
    <row r="64" spans="2:13" x14ac:dyDescent="0.25">
      <c r="B64" s="3"/>
      <c r="C64" s="11" t="s">
        <v>53</v>
      </c>
      <c r="D64" s="3" t="str">
        <f>_xlfn.CONCAT(C54,"-",C57)</f>
        <v>SG_SW010-SG_SW013</v>
      </c>
      <c r="E64" s="11"/>
      <c r="F64" s="83" t="s">
        <v>36</v>
      </c>
      <c r="G64" s="87"/>
      <c r="H64" s="11"/>
      <c r="I64" s="3"/>
      <c r="J64" s="3"/>
      <c r="K64" s="3"/>
      <c r="L64" s="3"/>
      <c r="M64" s="3"/>
    </row>
    <row r="65" spans="2:13" x14ac:dyDescent="0.25">
      <c r="B65" s="3"/>
      <c r="C65" s="11" t="s">
        <v>57</v>
      </c>
      <c r="D65" s="3" t="e">
        <f>SYS_Req!#REF!</f>
        <v>#REF!</v>
      </c>
      <c r="E65" s="11"/>
      <c r="F65" s="83" t="s">
        <v>54</v>
      </c>
      <c r="G65" s="87"/>
      <c r="H65" s="11"/>
      <c r="I65" s="3"/>
      <c r="J65" s="3"/>
      <c r="K65" s="3"/>
      <c r="L65" s="3"/>
      <c r="M65" s="3"/>
    </row>
    <row r="66" spans="2:13" x14ac:dyDescent="0.25">
      <c r="B66" s="3"/>
      <c r="C66" s="11" t="s">
        <v>58</v>
      </c>
      <c r="D66" s="3" t="str">
        <f>_xlfn.CONCAT(C45,"-",C48)</f>
        <v>SG_SW001-SG_SW004</v>
      </c>
      <c r="E66" s="11"/>
      <c r="F66" s="83" t="s">
        <v>55</v>
      </c>
      <c r="G66" s="87"/>
      <c r="H66" s="11"/>
      <c r="I66" s="3"/>
      <c r="J66" s="3"/>
      <c r="K66" s="3"/>
      <c r="L66" s="3"/>
      <c r="M66" s="3"/>
    </row>
    <row r="67" spans="2:13" x14ac:dyDescent="0.25">
      <c r="B67" s="3"/>
      <c r="C67" s="11" t="s">
        <v>59</v>
      </c>
      <c r="D67" s="3" t="str">
        <f>C58</f>
        <v>SG_SW014</v>
      </c>
      <c r="E67" s="11"/>
      <c r="F67" s="83" t="s">
        <v>56</v>
      </c>
      <c r="G67" s="87"/>
      <c r="H67" s="11"/>
      <c r="I67" s="3"/>
      <c r="J67" s="3"/>
      <c r="K67" s="3"/>
      <c r="L67" s="3"/>
      <c r="M67" s="3"/>
    </row>
    <row r="68" spans="2:13" x14ac:dyDescent="0.25">
      <c r="B68" s="3"/>
      <c r="C68" s="11" t="s">
        <v>61</v>
      </c>
      <c r="D68" s="3" t="str">
        <f>C67</f>
        <v>PR_SW007</v>
      </c>
      <c r="E68" s="11"/>
      <c r="F68" s="83" t="s">
        <v>60</v>
      </c>
      <c r="G68" s="87"/>
      <c r="H68" s="11"/>
      <c r="I68" s="3"/>
      <c r="J68" s="3"/>
      <c r="K68" s="3"/>
      <c r="L68" s="3"/>
      <c r="M68" s="3"/>
    </row>
    <row r="69" spans="2:13" x14ac:dyDescent="0.25">
      <c r="B69" s="3"/>
      <c r="C69" s="11" t="s">
        <v>66</v>
      </c>
      <c r="D69" s="3" t="e">
        <f>SYS_Req!#REF!</f>
        <v>#REF!</v>
      </c>
      <c r="E69" s="11"/>
      <c r="F69" s="83" t="s">
        <v>62</v>
      </c>
      <c r="G69" s="87"/>
      <c r="H69" s="11"/>
      <c r="I69" s="3"/>
      <c r="J69" s="3"/>
      <c r="K69" s="3"/>
      <c r="L69" s="3"/>
      <c r="M69" s="3"/>
    </row>
    <row r="70" spans="2:13" ht="30" x14ac:dyDescent="0.25">
      <c r="B70" s="3"/>
      <c r="C70" s="11" t="s">
        <v>67</v>
      </c>
      <c r="D70" s="3" t="str">
        <f>_xlfn.CONCAT(C45,"-",C48)</f>
        <v>SG_SW001-SG_SW004</v>
      </c>
      <c r="E70" s="11"/>
      <c r="F70" s="83" t="s">
        <v>63</v>
      </c>
      <c r="G70" s="87"/>
      <c r="H70" s="11"/>
      <c r="I70" s="3"/>
      <c r="J70" s="3"/>
      <c r="K70" s="3"/>
      <c r="L70" s="3"/>
      <c r="M70" s="3"/>
    </row>
    <row r="71" spans="2:13" x14ac:dyDescent="0.25">
      <c r="B71" s="3"/>
      <c r="C71" s="11" t="s">
        <v>68</v>
      </c>
      <c r="D71" s="3" t="str">
        <f>_xlfn.CONCAT(SYS_Req!C66,"-",SYS_Req!C71)</f>
        <v>SYS060-SYS065</v>
      </c>
      <c r="E71" s="11"/>
      <c r="F71" s="83" t="s">
        <v>65</v>
      </c>
      <c r="G71" s="87"/>
      <c r="H71" s="11"/>
      <c r="I71" s="3"/>
      <c r="J71" s="3"/>
      <c r="K71" s="3"/>
      <c r="L71" s="3"/>
      <c r="M71" s="3"/>
    </row>
    <row r="72" spans="2:13" x14ac:dyDescent="0.25">
      <c r="B72" s="3"/>
      <c r="C72" s="11"/>
      <c r="D72" s="3"/>
      <c r="E72" s="11"/>
      <c r="F72" s="83"/>
      <c r="G72" s="87"/>
      <c r="H72" s="11"/>
      <c r="I72" s="3"/>
      <c r="J72" s="3"/>
      <c r="K72" s="3"/>
      <c r="L72" s="3"/>
      <c r="M72" s="3"/>
    </row>
    <row r="73" spans="2:13" x14ac:dyDescent="0.25">
      <c r="B73" s="3"/>
      <c r="C73" s="75" t="s">
        <v>41</v>
      </c>
      <c r="D73" s="3"/>
      <c r="E73" s="11"/>
      <c r="F73" s="83"/>
      <c r="G73" s="87"/>
      <c r="H73" s="11"/>
      <c r="I73" s="3"/>
      <c r="J73" s="3"/>
      <c r="K73" s="3"/>
      <c r="L73" s="3"/>
      <c r="M73" s="3"/>
    </row>
    <row r="74" spans="2:13" x14ac:dyDescent="0.25">
      <c r="B74" s="3"/>
      <c r="C74" s="11" t="s">
        <v>71</v>
      </c>
      <c r="D74" s="26" t="s">
        <v>72</v>
      </c>
      <c r="E74" s="74"/>
      <c r="F74" s="83" t="s">
        <v>73</v>
      </c>
      <c r="G74" s="87"/>
      <c r="H74" s="11"/>
      <c r="I74" s="3"/>
      <c r="J74" s="3"/>
      <c r="K74" s="3"/>
      <c r="L74" s="3"/>
      <c r="M74" s="3"/>
    </row>
    <row r="75" spans="2:13" x14ac:dyDescent="0.25">
      <c r="B75" s="3"/>
      <c r="C75" s="11" t="s">
        <v>74</v>
      </c>
      <c r="D75" s="3" t="e">
        <f>SYS_Req!#REF!</f>
        <v>#REF!</v>
      </c>
      <c r="E75" s="11"/>
      <c r="F75" s="83" t="s">
        <v>42</v>
      </c>
      <c r="G75" s="87"/>
      <c r="H75" s="11"/>
      <c r="I75" s="3"/>
      <c r="J75" s="3"/>
      <c r="K75" s="3"/>
      <c r="L75" s="3"/>
      <c r="M75" s="3"/>
    </row>
    <row r="76" spans="2:13" x14ac:dyDescent="0.25">
      <c r="B76" s="3"/>
      <c r="C76" s="11" t="s">
        <v>75</v>
      </c>
      <c r="D76" s="3" t="str">
        <f>SYS_Req!C59</f>
        <v>SYS053</v>
      </c>
      <c r="E76" s="11"/>
      <c r="F76" s="83" t="s">
        <v>43</v>
      </c>
      <c r="G76" s="87"/>
      <c r="H76" s="11"/>
      <c r="I76" s="3"/>
      <c r="J76" s="3"/>
      <c r="K76" s="3"/>
      <c r="L76" s="3"/>
      <c r="M76" s="3"/>
    </row>
    <row r="77" spans="2:13" ht="30" x14ac:dyDescent="0.25">
      <c r="B77" s="3"/>
      <c r="C77" s="11" t="s">
        <v>76</v>
      </c>
      <c r="D77" s="3" t="str">
        <f>SYS_Req!C60</f>
        <v>SYS054</v>
      </c>
      <c r="E77" s="11"/>
      <c r="F77" s="83" t="s">
        <v>44</v>
      </c>
      <c r="G77" s="87"/>
      <c r="H77" s="11"/>
      <c r="I77" s="3"/>
      <c r="J77" s="3"/>
      <c r="K77" s="3"/>
      <c r="L77" s="3"/>
      <c r="M77" s="3"/>
    </row>
    <row r="78" spans="2:13" ht="30" x14ac:dyDescent="0.25">
      <c r="B78" s="3"/>
      <c r="C78" s="11" t="s">
        <v>77</v>
      </c>
      <c r="D78" s="3" t="str">
        <f>SYS_Req!C61</f>
        <v>SYS055</v>
      </c>
      <c r="E78" s="11"/>
      <c r="F78" s="83" t="s">
        <v>45</v>
      </c>
      <c r="G78" s="87"/>
      <c r="H78" s="11"/>
      <c r="I78" s="3"/>
      <c r="J78" s="3"/>
      <c r="K78" s="3"/>
      <c r="L78" s="3"/>
      <c r="M78" s="3"/>
    </row>
    <row r="79" spans="2:13" x14ac:dyDescent="0.25">
      <c r="B79" s="3"/>
      <c r="C79" s="11"/>
      <c r="D79" s="28"/>
      <c r="E79" s="77"/>
      <c r="F79" s="83"/>
      <c r="G79" s="87"/>
      <c r="H79" s="11"/>
      <c r="I79" s="3"/>
      <c r="J79" s="3"/>
      <c r="K79" s="3"/>
      <c r="L79" s="3"/>
      <c r="M79" s="3"/>
    </row>
    <row r="80" spans="2:13" x14ac:dyDescent="0.25">
      <c r="B80" s="3"/>
      <c r="C80" s="11" t="s">
        <v>64</v>
      </c>
      <c r="D80" s="3"/>
      <c r="E80" s="11"/>
      <c r="F80" s="83"/>
      <c r="G80" s="87"/>
      <c r="H80" s="11"/>
      <c r="I80" s="3"/>
      <c r="J80" s="3"/>
      <c r="K80" s="3"/>
      <c r="L80" s="3"/>
      <c r="M80" s="3"/>
    </row>
    <row r="81" spans="2:13" x14ac:dyDescent="0.25">
      <c r="B81" s="3"/>
      <c r="C81" s="11"/>
      <c r="D81" s="3"/>
      <c r="E81" s="11"/>
      <c r="F81" s="83"/>
      <c r="G81" s="87"/>
      <c r="H81" s="11"/>
      <c r="I81" s="3"/>
      <c r="J81" s="3"/>
      <c r="K81" s="3"/>
      <c r="L81" s="3"/>
      <c r="M81" s="3"/>
    </row>
    <row r="82" spans="2:13" x14ac:dyDescent="0.25">
      <c r="B82" s="3"/>
      <c r="C82" s="11" t="s">
        <v>69</v>
      </c>
      <c r="D82" s="3"/>
      <c r="E82" s="11"/>
      <c r="F82" s="83"/>
      <c r="G82" s="87"/>
      <c r="H82" s="11"/>
      <c r="I82" s="3"/>
      <c r="J82" s="3"/>
      <c r="K82" s="3"/>
      <c r="L82" s="3"/>
      <c r="M82" s="3"/>
    </row>
    <row r="83" spans="2:13" x14ac:dyDescent="0.25">
      <c r="B83" s="3"/>
      <c r="C83" s="11"/>
      <c r="D83" s="3"/>
      <c r="E83" s="11"/>
      <c r="F83" s="83"/>
      <c r="G83" s="87"/>
      <c r="H83" s="11"/>
      <c r="I83" s="3"/>
      <c r="J83" s="3"/>
      <c r="K83" s="3"/>
      <c r="L83" s="3"/>
      <c r="M83" s="3"/>
    </row>
    <row r="84" spans="2:13" x14ac:dyDescent="0.25">
      <c r="B84" s="3"/>
      <c r="C84" s="11"/>
      <c r="D84" s="3"/>
      <c r="E84" s="11"/>
      <c r="F84" s="83"/>
      <c r="G84" s="87"/>
      <c r="H84" s="11"/>
      <c r="I84" s="3"/>
      <c r="J84" s="3"/>
      <c r="K84" s="3"/>
      <c r="L84" s="3"/>
      <c r="M84" s="3"/>
    </row>
    <row r="85" spans="2:13" x14ac:dyDescent="0.25">
      <c r="B85" s="3"/>
      <c r="C85" s="11"/>
      <c r="D85" s="3"/>
      <c r="E85" s="11"/>
      <c r="F85" s="83"/>
      <c r="G85" s="87"/>
      <c r="H85" s="11"/>
      <c r="I85" s="3"/>
      <c r="J85" s="3"/>
      <c r="K85" s="3"/>
      <c r="L85" s="3"/>
      <c r="M85" s="3"/>
    </row>
    <row r="86" spans="2:13" x14ac:dyDescent="0.25">
      <c r="B86" s="3"/>
      <c r="C86" s="11"/>
      <c r="D86" s="3"/>
      <c r="E86" s="11"/>
      <c r="F86" s="83"/>
      <c r="G86" s="87"/>
      <c r="H86" s="11"/>
      <c r="I86" s="3"/>
      <c r="J86" s="3"/>
      <c r="K86" s="3"/>
      <c r="L86" s="3"/>
      <c r="M86" s="3"/>
    </row>
    <row r="87" spans="2:13" x14ac:dyDescent="0.25">
      <c r="B87" s="3"/>
      <c r="C87" s="11"/>
      <c r="D87" s="3"/>
      <c r="E87" s="11"/>
      <c r="F87" s="83"/>
      <c r="G87" s="87"/>
      <c r="H87" s="11"/>
      <c r="I87" s="3"/>
      <c r="J87" s="3"/>
      <c r="K87" s="3"/>
      <c r="L87" s="3"/>
      <c r="M87" s="3"/>
    </row>
    <row r="88" spans="2:13" x14ac:dyDescent="0.25">
      <c r="B88" s="3"/>
      <c r="C88" s="11"/>
      <c r="D88" s="3"/>
      <c r="E88" s="11"/>
      <c r="F88" s="83"/>
      <c r="G88" s="87"/>
      <c r="H88" s="11"/>
      <c r="I88" s="3"/>
      <c r="J88" s="3"/>
      <c r="K88" s="3"/>
      <c r="L88" s="3"/>
      <c r="M88" s="3"/>
    </row>
    <row r="89" spans="2:13" x14ac:dyDescent="0.25">
      <c r="B89" s="3"/>
      <c r="C89" s="75" t="s">
        <v>97</v>
      </c>
      <c r="D89" s="3"/>
      <c r="E89" s="11"/>
      <c r="F89" s="83"/>
      <c r="G89" s="87"/>
      <c r="H89" s="11"/>
      <c r="I89" s="3"/>
      <c r="J89" s="3"/>
      <c r="K89" s="3"/>
      <c r="L89" s="3"/>
      <c r="M89" s="3"/>
    </row>
    <row r="90" spans="2:13" x14ac:dyDescent="0.25">
      <c r="B90" s="3"/>
      <c r="C90" s="11"/>
      <c r="D90" s="3"/>
      <c r="E90" s="11"/>
      <c r="F90" s="83"/>
      <c r="G90" s="87"/>
      <c r="H90" s="11"/>
      <c r="I90" s="3"/>
      <c r="J90" s="3"/>
      <c r="K90" s="3"/>
      <c r="L90" s="3"/>
      <c r="M90" s="3"/>
    </row>
    <row r="91" spans="2:13" ht="60" x14ac:dyDescent="0.25">
      <c r="B91" s="3"/>
      <c r="C91" s="11" t="s">
        <v>98</v>
      </c>
      <c r="D91" s="29" t="s">
        <v>99</v>
      </c>
      <c r="E91" s="78"/>
      <c r="F91" s="83"/>
      <c r="G91" s="87"/>
      <c r="H91" s="11"/>
      <c r="I91" s="3"/>
      <c r="J91" s="3"/>
      <c r="K91" s="3"/>
      <c r="L91" s="3"/>
      <c r="M91" s="3"/>
    </row>
    <row r="92" spans="2:13" ht="60" x14ac:dyDescent="0.25">
      <c r="B92" s="3"/>
      <c r="C92" s="11" t="s">
        <v>100</v>
      </c>
      <c r="D92" s="30" t="s">
        <v>191</v>
      </c>
      <c r="E92" s="79"/>
      <c r="F92" s="83"/>
      <c r="G92" s="87"/>
      <c r="H92" s="11"/>
      <c r="I92" s="3"/>
      <c r="J92" s="3"/>
      <c r="K92" s="3"/>
      <c r="L92" s="3"/>
      <c r="M92" s="3"/>
    </row>
    <row r="93" spans="2:13" ht="60" x14ac:dyDescent="0.25">
      <c r="B93" s="3"/>
      <c r="C93" s="11" t="s">
        <v>105</v>
      </c>
      <c r="D93" s="30" t="s">
        <v>106</v>
      </c>
      <c r="E93" s="79"/>
      <c r="F93" s="83"/>
      <c r="G93" s="87"/>
      <c r="H93" s="11"/>
      <c r="I93" s="3"/>
      <c r="J93" s="3"/>
      <c r="K93" s="3"/>
      <c r="L93" s="3"/>
      <c r="M93" s="3"/>
    </row>
    <row r="94" spans="2:13" x14ac:dyDescent="0.25">
      <c r="B94" s="3"/>
      <c r="C94" s="11" t="s">
        <v>109</v>
      </c>
      <c r="D94" s="30" t="s">
        <v>110</v>
      </c>
      <c r="E94" s="79"/>
      <c r="F94" s="83"/>
      <c r="G94" s="87"/>
      <c r="H94" s="11"/>
      <c r="I94" s="3"/>
      <c r="J94" s="3"/>
      <c r="K94" s="3"/>
      <c r="L94" s="3"/>
      <c r="M94" s="3"/>
    </row>
    <row r="95" spans="2:13" ht="90" x14ac:dyDescent="0.25">
      <c r="B95" s="3"/>
      <c r="C95" s="11" t="s">
        <v>111</v>
      </c>
      <c r="D95" s="30" t="s">
        <v>112</v>
      </c>
      <c r="E95" s="79"/>
      <c r="F95" s="83"/>
      <c r="G95" s="87"/>
      <c r="H95" s="11"/>
      <c r="I95" s="3"/>
      <c r="J95" s="3"/>
      <c r="K95" s="3"/>
      <c r="L95" s="3"/>
      <c r="M95" s="3"/>
    </row>
    <row r="96" spans="2:13" ht="120" x14ac:dyDescent="0.25">
      <c r="B96" s="3"/>
      <c r="C96" s="11" t="s">
        <v>113</v>
      </c>
      <c r="D96" s="31" t="s">
        <v>121</v>
      </c>
      <c r="E96" s="80"/>
      <c r="F96" s="83"/>
      <c r="G96" s="87"/>
      <c r="H96" s="11"/>
      <c r="I96" s="3"/>
      <c r="J96" s="3"/>
      <c r="K96" s="3"/>
      <c r="L96" s="3"/>
      <c r="M96" s="3"/>
    </row>
    <row r="97" spans="2:13" ht="30" x14ac:dyDescent="0.25">
      <c r="B97" s="3"/>
      <c r="C97" s="11" t="s">
        <v>114</v>
      </c>
      <c r="D97" s="31" t="s">
        <v>122</v>
      </c>
      <c r="E97" s="80"/>
      <c r="F97" s="83"/>
      <c r="G97" s="87"/>
      <c r="H97" s="11"/>
      <c r="I97" s="3"/>
      <c r="J97" s="3"/>
      <c r="K97" s="3"/>
      <c r="L97" s="3"/>
      <c r="M97" s="3"/>
    </row>
    <row r="98" spans="2:13" ht="45" x14ac:dyDescent="0.25">
      <c r="B98" s="3"/>
      <c r="C98" s="11" t="s">
        <v>115</v>
      </c>
      <c r="D98" s="30" t="s">
        <v>116</v>
      </c>
      <c r="E98" s="79"/>
      <c r="F98" s="83"/>
      <c r="G98" s="87"/>
      <c r="H98" s="11"/>
      <c r="I98" s="3"/>
      <c r="J98" s="3"/>
      <c r="K98" s="3"/>
      <c r="L98" s="3"/>
      <c r="M98" s="3"/>
    </row>
    <row r="99" spans="2:13" ht="135" x14ac:dyDescent="0.25">
      <c r="B99" s="3"/>
      <c r="C99" s="11" t="s">
        <v>101</v>
      </c>
      <c r="D99" s="30" t="s">
        <v>798</v>
      </c>
      <c r="E99" s="79"/>
      <c r="F99" s="83"/>
      <c r="G99" s="87"/>
      <c r="H99" s="11"/>
      <c r="I99" s="3"/>
      <c r="J99" s="3"/>
      <c r="K99" s="3"/>
      <c r="L99" s="3"/>
      <c r="M99" s="3"/>
    </row>
    <row r="100" spans="2:13" ht="30" x14ac:dyDescent="0.25">
      <c r="B100" s="3"/>
      <c r="C100" s="11" t="s">
        <v>117</v>
      </c>
      <c r="D100" s="30" t="s">
        <v>123</v>
      </c>
      <c r="E100" s="79"/>
      <c r="F100" s="83"/>
      <c r="G100" s="87"/>
      <c r="H100" s="11"/>
      <c r="I100" s="3"/>
      <c r="J100" s="3"/>
      <c r="K100" s="3"/>
      <c r="L100" s="3"/>
      <c r="M100" s="3"/>
    </row>
    <row r="101" spans="2:13" ht="45" x14ac:dyDescent="0.25">
      <c r="B101" s="3"/>
      <c r="C101" s="11" t="s">
        <v>107</v>
      </c>
      <c r="D101" s="31" t="s">
        <v>124</v>
      </c>
      <c r="E101" s="80"/>
      <c r="F101" s="83"/>
      <c r="G101" s="87"/>
      <c r="H101" s="11"/>
      <c r="I101" s="3"/>
      <c r="J101" s="3"/>
      <c r="K101" s="3"/>
      <c r="L101" s="3"/>
      <c r="M101" s="3"/>
    </row>
    <row r="102" spans="2:13" ht="90" x14ac:dyDescent="0.25">
      <c r="B102" s="3"/>
      <c r="C102" s="11" t="s">
        <v>102</v>
      </c>
      <c r="D102" s="31" t="s">
        <v>104</v>
      </c>
      <c r="E102" s="80"/>
      <c r="F102" s="83"/>
      <c r="G102" s="88"/>
      <c r="H102" s="11"/>
      <c r="I102" s="3"/>
      <c r="J102" s="3"/>
      <c r="K102" s="3"/>
      <c r="L102" s="3"/>
      <c r="M102" s="3"/>
    </row>
    <row r="103" spans="2:13" ht="90" x14ac:dyDescent="0.25">
      <c r="B103" s="3"/>
      <c r="C103" s="11" t="s">
        <v>118</v>
      </c>
      <c r="D103" s="31" t="s">
        <v>120</v>
      </c>
      <c r="E103" s="80"/>
      <c r="F103" s="83"/>
      <c r="G103" s="87"/>
      <c r="H103" s="11"/>
      <c r="I103" s="3"/>
      <c r="J103" s="3"/>
      <c r="K103" s="3"/>
      <c r="L103" s="3"/>
      <c r="M103" s="3"/>
    </row>
    <row r="104" spans="2:13" ht="105" x14ac:dyDescent="0.25">
      <c r="B104" s="3"/>
      <c r="C104" s="11" t="s">
        <v>108</v>
      </c>
      <c r="D104" s="31" t="s">
        <v>119</v>
      </c>
      <c r="E104" s="80"/>
      <c r="F104" s="83"/>
      <c r="G104" s="87"/>
      <c r="H104" s="11"/>
      <c r="I104" s="3"/>
      <c r="J104" s="3"/>
      <c r="K104" s="3"/>
      <c r="L104" s="3"/>
      <c r="M104" s="3"/>
    </row>
    <row r="105" spans="2:13" x14ac:dyDescent="0.25">
      <c r="B105" s="3"/>
      <c r="C105" s="11"/>
      <c r="D105" s="3"/>
      <c r="E105" s="11"/>
      <c r="F105" s="83"/>
      <c r="G105" s="87"/>
      <c r="H105" s="11"/>
      <c r="I105" s="3"/>
      <c r="J105" s="3"/>
      <c r="K105" s="3"/>
      <c r="L105" s="3"/>
      <c r="M105" s="3"/>
    </row>
    <row r="106" spans="2:13" x14ac:dyDescent="0.25">
      <c r="B106" s="3"/>
      <c r="C106" s="11"/>
      <c r="D106" s="3"/>
      <c r="E106" s="11"/>
      <c r="F106" s="83"/>
      <c r="G106" s="87"/>
      <c r="H106" s="11"/>
      <c r="I106" s="3"/>
      <c r="J106" s="3"/>
      <c r="K106" s="3"/>
      <c r="L106" s="3"/>
      <c r="M10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1E23B-F0B2-4D51-BF30-108E3344F221}">
  <sheetPr codeName="Hoja8"/>
  <dimension ref="A21"/>
  <sheetViews>
    <sheetView workbookViewId="0"/>
  </sheetViews>
  <sheetFormatPr baseColWidth="10" defaultRowHeight="15" x14ac:dyDescent="0.25"/>
  <cols>
    <col min="2" max="2" width="12.28515625" bestFit="1" customWidth="1"/>
    <col min="3" max="3" width="11.85546875" bestFit="1" customWidth="1"/>
    <col min="4" max="4" width="13.140625" bestFit="1" customWidth="1"/>
    <col min="5" max="5" width="12.140625" bestFit="1" customWidth="1"/>
    <col min="6" max="6" width="18.28515625" bestFit="1" customWidth="1"/>
    <col min="8" max="8" width="22.7109375" bestFit="1" customWidth="1"/>
  </cols>
  <sheetData>
    <row r="21" s="1" customForma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42CE0-B751-418C-89A8-C1DE9649EF49}">
  <dimension ref="B2:O23"/>
  <sheetViews>
    <sheetView workbookViewId="0">
      <selection activeCell="H31" sqref="H31"/>
    </sheetView>
  </sheetViews>
  <sheetFormatPr baseColWidth="10" defaultColWidth="11.5703125" defaultRowHeight="15" x14ac:dyDescent="0.25"/>
  <cols>
    <col min="1" max="2" width="11.5703125" style="11"/>
    <col min="3" max="3" width="11.5703125" style="11" customWidth="1"/>
    <col min="4" max="4" width="21.5703125" style="11" bestFit="1" customWidth="1"/>
    <col min="5" max="7" width="11.5703125" style="11"/>
    <col min="8" max="8" width="16" style="11" bestFit="1" customWidth="1"/>
    <col min="9" max="9" width="11.5703125" style="11"/>
    <col min="10" max="10" width="16.7109375" style="11" bestFit="1" customWidth="1"/>
    <col min="11" max="11" width="12.28515625" style="11" bestFit="1" customWidth="1"/>
    <col min="12" max="12" width="22.85546875" style="11" bestFit="1" customWidth="1"/>
    <col min="13" max="13" width="11.28515625" style="11" bestFit="1" customWidth="1"/>
    <col min="14" max="14" width="16.5703125" style="11" bestFit="1" customWidth="1"/>
    <col min="15" max="16384" width="11.5703125" style="11"/>
  </cols>
  <sheetData>
    <row r="2" spans="2:15" ht="15.75" thickBot="1" x14ac:dyDescent="0.3"/>
    <row r="3" spans="2:15" ht="18.600000000000001" customHeight="1" x14ac:dyDescent="0.25">
      <c r="B3" s="142" t="s">
        <v>371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3"/>
    </row>
    <row r="4" spans="2:15" x14ac:dyDescent="0.25">
      <c r="B4" s="149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1"/>
    </row>
    <row r="5" spans="2:15" ht="15.75" thickBot="1" x14ac:dyDescent="0.3">
      <c r="B5" s="152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4"/>
    </row>
    <row r="6" spans="2:15" ht="45.75" thickBot="1" x14ac:dyDescent="0.3">
      <c r="B6" s="47" t="s">
        <v>319</v>
      </c>
      <c r="C6" s="47" t="s">
        <v>320</v>
      </c>
      <c r="D6" s="47" t="s">
        <v>323</v>
      </c>
      <c r="E6" s="47" t="s">
        <v>324</v>
      </c>
      <c r="F6" s="47" t="s">
        <v>351</v>
      </c>
      <c r="G6" s="47" t="s">
        <v>325</v>
      </c>
      <c r="H6" s="47" t="s">
        <v>368</v>
      </c>
      <c r="I6" s="48" t="s">
        <v>326</v>
      </c>
      <c r="J6" s="47" t="s">
        <v>327</v>
      </c>
      <c r="K6" s="47" t="s">
        <v>328</v>
      </c>
      <c r="L6" s="47" t="s">
        <v>329</v>
      </c>
      <c r="M6" s="47" t="s">
        <v>330</v>
      </c>
      <c r="N6" s="47" t="s">
        <v>331</v>
      </c>
      <c r="O6" s="47" t="s">
        <v>332</v>
      </c>
    </row>
    <row r="7" spans="2:15" s="22" customFormat="1" x14ac:dyDescent="0.25">
      <c r="B7" s="163" t="s">
        <v>321</v>
      </c>
      <c r="C7" s="163" t="s">
        <v>322</v>
      </c>
      <c r="D7" s="46" t="s">
        <v>333</v>
      </c>
      <c r="E7" s="46" t="s">
        <v>353</v>
      </c>
      <c r="F7" s="46" t="s">
        <v>322</v>
      </c>
      <c r="G7" s="49" t="str">
        <f t="shared" ref="G7:G21" si="0">CONCATENATE(UPPER(F7),"_", UPPER(E7))</f>
        <v>APP_SALG</v>
      </c>
      <c r="H7" s="49" t="str">
        <f>_xlfn.CONCAT(G7,"_P_IF")</f>
        <v>APP_SALG_P_IF</v>
      </c>
      <c r="I7" s="49" t="str">
        <f>LOWER(G7)</f>
        <v>app_salg</v>
      </c>
      <c r="J7" s="49" t="str">
        <f>_xlfn.CONCAT(G7,"_XXXX")</f>
        <v>APP_SALG_XXXX</v>
      </c>
      <c r="K7" s="49" t="str">
        <f>_xlfn.CONCAT(E7,"_XXXX")</f>
        <v>Salg_XXXX</v>
      </c>
      <c r="L7" s="49" t="str">
        <f>_xlfn.CONCAT(G7,"_xxxx_xxxx_t")</f>
        <v>APP_SALG_xxxx_xxxx_t</v>
      </c>
      <c r="M7" s="49" t="s">
        <v>352</v>
      </c>
      <c r="N7" s="49" t="str">
        <f>_xlfn.CONCAT(F7,"_",E7,"Xxxx()")</f>
        <v>APP_SalgXxxx()</v>
      </c>
      <c r="O7" s="49" t="s">
        <v>367</v>
      </c>
    </row>
    <row r="8" spans="2:15" s="22" customFormat="1" x14ac:dyDescent="0.25">
      <c r="B8" s="161"/>
      <c r="C8" s="161"/>
      <c r="D8" s="39" t="s">
        <v>314</v>
      </c>
      <c r="E8" s="39" t="s">
        <v>354</v>
      </c>
      <c r="F8" s="39" t="s">
        <v>322</v>
      </c>
      <c r="G8" s="40" t="str">
        <f t="shared" si="0"/>
        <v>APP_IFACE</v>
      </c>
      <c r="H8" s="40" t="str">
        <f t="shared" ref="H8:H21" si="1">_xlfn.CONCAT(G8,"_P_IF")</f>
        <v>APP_IFACE_P_IF</v>
      </c>
      <c r="I8" s="43" t="str">
        <f t="shared" ref="I8:I21" si="2">LOWER(G8)</f>
        <v>app_iface</v>
      </c>
      <c r="J8" s="43" t="str">
        <f t="shared" ref="J8:J21" si="3">_xlfn.CONCAT(G8,"_XXXX")</f>
        <v>APP_IFACE_XXXX</v>
      </c>
      <c r="K8" s="52" t="str">
        <f t="shared" ref="K8:K21" si="4">_xlfn.CONCAT(E8,"_XXXX")</f>
        <v>Iface_XXXX</v>
      </c>
      <c r="L8" s="40" t="str">
        <f t="shared" ref="L8:L21" si="5">_xlfn.CONCAT(G8,"_xxxx_xxxx_t")</f>
        <v>APP_IFACE_xxxx_xxxx_t</v>
      </c>
      <c r="M8" s="40" t="s">
        <v>352</v>
      </c>
      <c r="N8" s="40" t="str">
        <f t="shared" ref="N8:N21" si="6">_xlfn.CONCAT(F8,"_",E8,"Xxxx()")</f>
        <v>APP_IfaceXxxx()</v>
      </c>
      <c r="O8" s="40" t="s">
        <v>367</v>
      </c>
    </row>
    <row r="9" spans="2:15" s="22" customFormat="1" ht="15.75" thickBot="1" x14ac:dyDescent="0.3">
      <c r="B9" s="162"/>
      <c r="C9" s="162"/>
      <c r="D9" s="35" t="s">
        <v>334</v>
      </c>
      <c r="E9" s="35" t="s">
        <v>355</v>
      </c>
      <c r="F9" s="35" t="s">
        <v>322</v>
      </c>
      <c r="G9" s="36" t="str">
        <f t="shared" si="0"/>
        <v>APP_CTRL</v>
      </c>
      <c r="H9" s="36" t="str">
        <f t="shared" si="1"/>
        <v>APP_CTRL_P_IF</v>
      </c>
      <c r="I9" s="36" t="str">
        <f t="shared" si="2"/>
        <v>app_ctrl</v>
      </c>
      <c r="J9" s="36" t="str">
        <f t="shared" si="3"/>
        <v>APP_CTRL_XXXX</v>
      </c>
      <c r="K9" s="36" t="str">
        <f t="shared" si="4"/>
        <v>Ctrl_XXXX</v>
      </c>
      <c r="L9" s="36" t="str">
        <f t="shared" si="5"/>
        <v>APP_CTRL_xxxx_xxxx_t</v>
      </c>
      <c r="M9" s="36" t="s">
        <v>352</v>
      </c>
      <c r="N9" s="36" t="str">
        <f t="shared" si="6"/>
        <v>APP_CtrlXxxx()</v>
      </c>
      <c r="O9" s="36" t="s">
        <v>367</v>
      </c>
    </row>
    <row r="10" spans="2:15" s="22" customFormat="1" x14ac:dyDescent="0.25">
      <c r="B10" s="163" t="s">
        <v>336</v>
      </c>
      <c r="C10" s="163" t="s">
        <v>335</v>
      </c>
      <c r="D10" s="39" t="s">
        <v>337</v>
      </c>
      <c r="E10" s="39" t="s">
        <v>356</v>
      </c>
      <c r="F10" s="39" t="s">
        <v>335</v>
      </c>
      <c r="G10" s="40" t="str">
        <f t="shared" si="0"/>
        <v>MID_PWR</v>
      </c>
      <c r="H10" s="40" t="str">
        <f t="shared" si="1"/>
        <v>MID_PWR_P_IF</v>
      </c>
      <c r="I10" s="43" t="str">
        <f t="shared" si="2"/>
        <v>mid_pwr</v>
      </c>
      <c r="J10" s="43" t="str">
        <f t="shared" si="3"/>
        <v>MID_PWR_XXXX</v>
      </c>
      <c r="K10" s="52" t="str">
        <f t="shared" si="4"/>
        <v>Pwr_XXXX</v>
      </c>
      <c r="L10" s="40" t="str">
        <f t="shared" si="5"/>
        <v>MID_PWR_xxxx_xxxx_t</v>
      </c>
      <c r="M10" s="40" t="s">
        <v>352</v>
      </c>
      <c r="N10" s="40" t="str">
        <f t="shared" si="6"/>
        <v>MID_PwrXxxx()</v>
      </c>
      <c r="O10" s="40" t="s">
        <v>367</v>
      </c>
    </row>
    <row r="11" spans="2:15" s="22" customFormat="1" x14ac:dyDescent="0.25">
      <c r="B11" s="161"/>
      <c r="C11" s="161"/>
      <c r="D11" s="32" t="s">
        <v>338</v>
      </c>
      <c r="E11" s="32" t="s">
        <v>357</v>
      </c>
      <c r="F11" s="32" t="s">
        <v>335</v>
      </c>
      <c r="G11" s="33" t="str">
        <f t="shared" si="0"/>
        <v>MID_DABS</v>
      </c>
      <c r="H11" s="33" t="str">
        <f t="shared" si="1"/>
        <v>MID_DABS_P_IF</v>
      </c>
      <c r="I11" s="33" t="str">
        <f t="shared" si="2"/>
        <v>mid_dabs</v>
      </c>
      <c r="J11" s="33" t="str">
        <f t="shared" si="3"/>
        <v>MID_DABS_XXXX</v>
      </c>
      <c r="K11" s="33" t="str">
        <f t="shared" si="4"/>
        <v>Dabs_XXXX</v>
      </c>
      <c r="L11" s="33" t="str">
        <f t="shared" si="5"/>
        <v>MID_DABS_xxxx_xxxx_t</v>
      </c>
      <c r="M11" s="33" t="s">
        <v>352</v>
      </c>
      <c r="N11" s="33" t="str">
        <f t="shared" si="6"/>
        <v>MID_DabsXxxx()</v>
      </c>
      <c r="O11" s="33" t="s">
        <v>367</v>
      </c>
    </row>
    <row r="12" spans="2:15" s="22" customFormat="1" ht="30.75" thickBot="1" x14ac:dyDescent="0.3">
      <c r="B12" s="162"/>
      <c r="C12" s="162"/>
      <c r="D12" s="53" t="s">
        <v>339</v>
      </c>
      <c r="E12" s="53" t="s">
        <v>358</v>
      </c>
      <c r="F12" s="53" t="s">
        <v>335</v>
      </c>
      <c r="G12" s="54" t="str">
        <f t="shared" si="0"/>
        <v>MID_COMM</v>
      </c>
      <c r="H12" s="54" t="str">
        <f t="shared" si="1"/>
        <v>MID_COMM_P_IF</v>
      </c>
      <c r="I12" s="55" t="str">
        <f t="shared" si="2"/>
        <v>mid_comm</v>
      </c>
      <c r="J12" s="55" t="str">
        <f t="shared" si="3"/>
        <v>MID_COMM_XXXX</v>
      </c>
      <c r="K12" s="56" t="str">
        <f t="shared" si="4"/>
        <v>Comm_XXXX</v>
      </c>
      <c r="L12" s="54" t="str">
        <f t="shared" si="5"/>
        <v>MID_COMM_xxxx_xxxx_t</v>
      </c>
      <c r="M12" s="54" t="s">
        <v>352</v>
      </c>
      <c r="N12" s="54" t="str">
        <f t="shared" si="6"/>
        <v>MID_CommXxxx()</v>
      </c>
      <c r="O12" s="54" t="s">
        <v>367</v>
      </c>
    </row>
    <row r="13" spans="2:15" s="22" customFormat="1" x14ac:dyDescent="0.25">
      <c r="B13" s="157" t="s">
        <v>340</v>
      </c>
      <c r="C13" s="160" t="s">
        <v>341</v>
      </c>
      <c r="D13" s="50" t="s">
        <v>342</v>
      </c>
      <c r="E13" s="50" t="s">
        <v>342</v>
      </c>
      <c r="F13" s="50" t="s">
        <v>341</v>
      </c>
      <c r="G13" s="51" t="str">
        <f t="shared" si="0"/>
        <v>HAL_PWM</v>
      </c>
      <c r="H13" s="51" t="str">
        <f t="shared" si="1"/>
        <v>HAL_PWM_P_IF</v>
      </c>
      <c r="I13" s="51" t="str">
        <f t="shared" si="2"/>
        <v>hal_pwm</v>
      </c>
      <c r="J13" s="51" t="str">
        <f t="shared" si="3"/>
        <v>HAL_PWM_XXXX</v>
      </c>
      <c r="K13" s="51" t="str">
        <f t="shared" si="4"/>
        <v>Pwm_XXXX</v>
      </c>
      <c r="L13" s="51" t="str">
        <f t="shared" si="5"/>
        <v>HAL_PWM_xxxx_xxxx_t</v>
      </c>
      <c r="M13" s="51" t="s">
        <v>352</v>
      </c>
      <c r="N13" s="51" t="str">
        <f t="shared" si="6"/>
        <v>HAL_PwmXxxx()</v>
      </c>
      <c r="O13" s="51" t="s">
        <v>367</v>
      </c>
    </row>
    <row r="14" spans="2:15" s="22" customFormat="1" x14ac:dyDescent="0.25">
      <c r="B14" s="158"/>
      <c r="C14" s="161"/>
      <c r="D14" s="39" t="s">
        <v>343</v>
      </c>
      <c r="E14" s="39" t="s">
        <v>359</v>
      </c>
      <c r="F14" s="39" t="s">
        <v>341</v>
      </c>
      <c r="G14" s="40" t="str">
        <f t="shared" si="0"/>
        <v>HAL_GPIO</v>
      </c>
      <c r="H14" s="40" t="str">
        <f t="shared" si="1"/>
        <v>HAL_GPIO_P_IF</v>
      </c>
      <c r="I14" s="43" t="str">
        <f t="shared" si="2"/>
        <v>hal_gpio</v>
      </c>
      <c r="J14" s="43" t="str">
        <f t="shared" si="3"/>
        <v>HAL_GPIO_XXXX</v>
      </c>
      <c r="K14" s="52" t="str">
        <f t="shared" si="4"/>
        <v>Gpio_XXXX</v>
      </c>
      <c r="L14" s="40" t="str">
        <f t="shared" si="5"/>
        <v>HAL_GPIO_xxxx_xxxx_t</v>
      </c>
      <c r="M14" s="40" t="s">
        <v>352</v>
      </c>
      <c r="N14" s="40" t="str">
        <f t="shared" si="6"/>
        <v>HAL_GpioXxxx()</v>
      </c>
      <c r="O14" s="40" t="s">
        <v>367</v>
      </c>
    </row>
    <row r="15" spans="2:15" s="22" customFormat="1" x14ac:dyDescent="0.25">
      <c r="B15" s="158"/>
      <c r="C15" s="161"/>
      <c r="D15" s="32" t="s">
        <v>344</v>
      </c>
      <c r="E15" s="32" t="s">
        <v>360</v>
      </c>
      <c r="F15" s="32" t="s">
        <v>341</v>
      </c>
      <c r="G15" s="33" t="str">
        <f t="shared" si="0"/>
        <v>HAL_ADC</v>
      </c>
      <c r="H15" s="33" t="str">
        <f t="shared" si="1"/>
        <v>HAL_ADC_P_IF</v>
      </c>
      <c r="I15" s="33" t="str">
        <f t="shared" si="2"/>
        <v>hal_adc</v>
      </c>
      <c r="J15" s="33" t="str">
        <f t="shared" si="3"/>
        <v>HAL_ADC_XXXX</v>
      </c>
      <c r="K15" s="33" t="str">
        <f t="shared" si="4"/>
        <v>Adc_XXXX</v>
      </c>
      <c r="L15" s="33" t="str">
        <f t="shared" si="5"/>
        <v>HAL_ADC_xxxx_xxxx_t</v>
      </c>
      <c r="M15" s="33" t="s">
        <v>352</v>
      </c>
      <c r="N15" s="33" t="str">
        <f t="shared" si="6"/>
        <v>HAL_AdcXxxx()</v>
      </c>
      <c r="O15" s="33" t="s">
        <v>367</v>
      </c>
    </row>
    <row r="16" spans="2:15" s="22" customFormat="1" x14ac:dyDescent="0.25">
      <c r="B16" s="158"/>
      <c r="C16" s="161"/>
      <c r="D16" s="39" t="s">
        <v>345</v>
      </c>
      <c r="E16" s="39" t="s">
        <v>361</v>
      </c>
      <c r="F16" s="39" t="s">
        <v>341</v>
      </c>
      <c r="G16" s="40" t="str">
        <f t="shared" si="0"/>
        <v>HAL_I2C</v>
      </c>
      <c r="H16" s="40" t="str">
        <f t="shared" si="1"/>
        <v>HAL_I2C_P_IF</v>
      </c>
      <c r="I16" s="43" t="str">
        <f t="shared" si="2"/>
        <v>hal_i2c</v>
      </c>
      <c r="J16" s="43" t="str">
        <f t="shared" si="3"/>
        <v>HAL_I2C_XXXX</v>
      </c>
      <c r="K16" s="52" t="str">
        <f t="shared" si="4"/>
        <v>I2c_XXXX</v>
      </c>
      <c r="L16" s="40" t="str">
        <f t="shared" si="5"/>
        <v>HAL_I2C_xxxx_xxxx_t</v>
      </c>
      <c r="M16" s="40" t="s">
        <v>352</v>
      </c>
      <c r="N16" s="40" t="str">
        <f t="shared" si="6"/>
        <v>HAL_I2cXxxx()</v>
      </c>
      <c r="O16" s="40" t="s">
        <v>367</v>
      </c>
    </row>
    <row r="17" spans="2:15" s="22" customFormat="1" x14ac:dyDescent="0.25">
      <c r="B17" s="158"/>
      <c r="C17" s="161"/>
      <c r="D17" s="32" t="s">
        <v>346</v>
      </c>
      <c r="E17" s="32" t="s">
        <v>362</v>
      </c>
      <c r="F17" s="32" t="s">
        <v>341</v>
      </c>
      <c r="G17" s="33" t="str">
        <f t="shared" si="0"/>
        <v>HAL_DMA</v>
      </c>
      <c r="H17" s="33" t="str">
        <f t="shared" si="1"/>
        <v>HAL_DMA_P_IF</v>
      </c>
      <c r="I17" s="33" t="str">
        <f t="shared" si="2"/>
        <v>hal_dma</v>
      </c>
      <c r="J17" s="33" t="str">
        <f t="shared" si="3"/>
        <v>HAL_DMA_XXXX</v>
      </c>
      <c r="K17" s="33" t="str">
        <f t="shared" si="4"/>
        <v>Dma_XXXX</v>
      </c>
      <c r="L17" s="33" t="str">
        <f t="shared" si="5"/>
        <v>HAL_DMA_xxxx_xxxx_t</v>
      </c>
      <c r="M17" s="33" t="s">
        <v>352</v>
      </c>
      <c r="N17" s="33" t="str">
        <f t="shared" si="6"/>
        <v>HAL_DmaXxxx()</v>
      </c>
      <c r="O17" s="33" t="s">
        <v>367</v>
      </c>
    </row>
    <row r="18" spans="2:15" s="22" customFormat="1" x14ac:dyDescent="0.25">
      <c r="B18" s="158"/>
      <c r="C18" s="161"/>
      <c r="D18" s="39" t="s">
        <v>347</v>
      </c>
      <c r="E18" s="39" t="s">
        <v>363</v>
      </c>
      <c r="F18" s="39" t="s">
        <v>341</v>
      </c>
      <c r="G18" s="40" t="str">
        <f t="shared" si="0"/>
        <v>HAL_TMR</v>
      </c>
      <c r="H18" s="40" t="str">
        <f t="shared" si="1"/>
        <v>HAL_TMR_P_IF</v>
      </c>
      <c r="I18" s="43" t="str">
        <f t="shared" si="2"/>
        <v>hal_tmr</v>
      </c>
      <c r="J18" s="43" t="str">
        <f t="shared" si="3"/>
        <v>HAL_TMR_XXXX</v>
      </c>
      <c r="K18" s="52" t="str">
        <f t="shared" si="4"/>
        <v>Tmr_XXXX</v>
      </c>
      <c r="L18" s="40" t="str">
        <f t="shared" si="5"/>
        <v>HAL_TMR_xxxx_xxxx_t</v>
      </c>
      <c r="M18" s="40" t="s">
        <v>352</v>
      </c>
      <c r="N18" s="40" t="str">
        <f t="shared" si="6"/>
        <v>HAL_TmrXxxx()</v>
      </c>
      <c r="O18" s="40" t="s">
        <v>367</v>
      </c>
    </row>
    <row r="19" spans="2:15" s="22" customFormat="1" x14ac:dyDescent="0.25">
      <c r="B19" s="158"/>
      <c r="C19" s="161"/>
      <c r="D19" s="32" t="s">
        <v>348</v>
      </c>
      <c r="E19" s="32" t="s">
        <v>364</v>
      </c>
      <c r="F19" s="32" t="s">
        <v>341</v>
      </c>
      <c r="G19" s="33" t="str">
        <f t="shared" si="0"/>
        <v>HAL_SYS</v>
      </c>
      <c r="H19" s="33" t="str">
        <f t="shared" si="1"/>
        <v>HAL_SYS_P_IF</v>
      </c>
      <c r="I19" s="33" t="str">
        <f t="shared" si="2"/>
        <v>hal_sys</v>
      </c>
      <c r="J19" s="33" t="str">
        <f t="shared" si="3"/>
        <v>HAL_SYS_XXXX</v>
      </c>
      <c r="K19" s="33" t="str">
        <f t="shared" si="4"/>
        <v>Sys_XXXX</v>
      </c>
      <c r="L19" s="33" t="str">
        <f t="shared" si="5"/>
        <v>HAL_SYS_xxxx_xxxx_t</v>
      </c>
      <c r="M19" s="33" t="s">
        <v>352</v>
      </c>
      <c r="N19" s="33" t="str">
        <f t="shared" si="6"/>
        <v>HAL_SysXxxx()</v>
      </c>
      <c r="O19" s="33" t="s">
        <v>367</v>
      </c>
    </row>
    <row r="20" spans="2:15" s="22" customFormat="1" x14ac:dyDescent="0.25">
      <c r="B20" s="158"/>
      <c r="C20" s="161"/>
      <c r="D20" s="39" t="s">
        <v>349</v>
      </c>
      <c r="E20" s="39" t="s">
        <v>365</v>
      </c>
      <c r="F20" s="39" t="s">
        <v>341</v>
      </c>
      <c r="G20" s="40" t="str">
        <f t="shared" si="0"/>
        <v>HAL_WDG</v>
      </c>
      <c r="H20" s="40" t="str">
        <f t="shared" si="1"/>
        <v>HAL_WDG_P_IF</v>
      </c>
      <c r="I20" s="43" t="str">
        <f t="shared" si="2"/>
        <v>hal_wdg</v>
      </c>
      <c r="J20" s="43" t="str">
        <f t="shared" si="3"/>
        <v>HAL_WDG_XXXX</v>
      </c>
      <c r="K20" s="52" t="str">
        <f t="shared" si="4"/>
        <v>Wdg_XXXX</v>
      </c>
      <c r="L20" s="40" t="str">
        <f t="shared" si="5"/>
        <v>HAL_WDG_xxxx_xxxx_t</v>
      </c>
      <c r="M20" s="40" t="s">
        <v>352</v>
      </c>
      <c r="N20" s="40" t="str">
        <f t="shared" si="6"/>
        <v>HAL_WdgXxxx()</v>
      </c>
      <c r="O20" s="40" t="s">
        <v>367</v>
      </c>
    </row>
    <row r="21" spans="2:15" s="22" customFormat="1" ht="15.75" thickBot="1" x14ac:dyDescent="0.3">
      <c r="B21" s="159"/>
      <c r="C21" s="162"/>
      <c r="D21" s="35" t="s">
        <v>350</v>
      </c>
      <c r="E21" s="35" t="s">
        <v>366</v>
      </c>
      <c r="F21" s="35" t="s">
        <v>341</v>
      </c>
      <c r="G21" s="36" t="str">
        <f t="shared" si="0"/>
        <v>HAL_CAN</v>
      </c>
      <c r="H21" s="36" t="str">
        <f t="shared" si="1"/>
        <v>HAL_CAN_P_IF</v>
      </c>
      <c r="I21" s="36" t="str">
        <f t="shared" si="2"/>
        <v>hal_can</v>
      </c>
      <c r="J21" s="36" t="str">
        <f t="shared" si="3"/>
        <v>HAL_CAN_XXXX</v>
      </c>
      <c r="K21" s="36" t="str">
        <f t="shared" si="4"/>
        <v>Can_XXXX</v>
      </c>
      <c r="L21" s="36" t="str">
        <f t="shared" si="5"/>
        <v>HAL_CAN_xxxx_xxxx_t</v>
      </c>
      <c r="M21" s="36" t="s">
        <v>352</v>
      </c>
      <c r="N21" s="36" t="str">
        <f t="shared" si="6"/>
        <v>HAL_CanXxxx()</v>
      </c>
      <c r="O21" s="36" t="s">
        <v>367</v>
      </c>
    </row>
    <row r="22" spans="2:15" x14ac:dyDescent="0.25">
      <c r="B22" s="22" t="s">
        <v>369</v>
      </c>
    </row>
    <row r="23" spans="2:15" x14ac:dyDescent="0.25">
      <c r="B23" s="22" t="s">
        <v>370</v>
      </c>
    </row>
  </sheetData>
  <mergeCells count="7">
    <mergeCell ref="B13:B21"/>
    <mergeCell ref="C13:C21"/>
    <mergeCell ref="B3:O5"/>
    <mergeCell ref="B7:B9"/>
    <mergeCell ref="C7:C9"/>
    <mergeCell ref="B10:B12"/>
    <mergeCell ref="C10:C1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3304E-A01D-4027-9AF7-418A3D0BC78B}">
  <sheetPr codeName="Hoja7"/>
  <dimension ref="B2:L26"/>
  <sheetViews>
    <sheetView zoomScale="130" zoomScaleNormal="130" workbookViewId="0">
      <selection activeCell="G14" sqref="G14"/>
    </sheetView>
  </sheetViews>
  <sheetFormatPr baseColWidth="10" defaultRowHeight="15" x14ac:dyDescent="0.25"/>
  <cols>
    <col min="2" max="2" width="14.85546875" customWidth="1"/>
    <col min="3" max="3" width="13.5703125" customWidth="1"/>
    <col min="4" max="4" width="13.5703125" bestFit="1" customWidth="1"/>
    <col min="5" max="5" width="12.85546875" bestFit="1" customWidth="1"/>
    <col min="6" max="6" width="18.5703125" bestFit="1" customWidth="1"/>
    <col min="7" max="7" width="9.7109375" customWidth="1"/>
    <col min="8" max="8" width="23.42578125" bestFit="1" customWidth="1"/>
    <col min="9" max="9" width="15.42578125" bestFit="1" customWidth="1"/>
  </cols>
  <sheetData>
    <row r="2" spans="2:12" x14ac:dyDescent="0.25">
      <c r="B2" s="165" t="s">
        <v>126</v>
      </c>
      <c r="C2" s="165"/>
      <c r="D2" s="2" t="s">
        <v>37</v>
      </c>
      <c r="E2" s="2" t="s">
        <v>132</v>
      </c>
      <c r="F2" s="2" t="s">
        <v>29</v>
      </c>
      <c r="G2" s="2" t="s">
        <v>156</v>
      </c>
      <c r="H2" s="2" t="s">
        <v>157</v>
      </c>
    </row>
    <row r="3" spans="2:12" x14ac:dyDescent="0.25">
      <c r="B3" s="164" t="s">
        <v>127</v>
      </c>
      <c r="C3" s="164" t="s">
        <v>125</v>
      </c>
      <c r="D3" s="99" t="s">
        <v>128</v>
      </c>
      <c r="E3" s="99" t="s">
        <v>130</v>
      </c>
      <c r="F3" s="99" t="s">
        <v>36</v>
      </c>
      <c r="G3" s="99" t="s">
        <v>748</v>
      </c>
      <c r="H3" s="99" t="s">
        <v>182</v>
      </c>
    </row>
    <row r="4" spans="2:12" x14ac:dyDescent="0.25">
      <c r="B4" s="164"/>
      <c r="C4" s="164"/>
      <c r="D4" s="99" t="s">
        <v>180</v>
      </c>
      <c r="E4" s="99" t="s">
        <v>130</v>
      </c>
      <c r="F4" s="99" t="s">
        <v>178</v>
      </c>
      <c r="G4" s="99" t="s">
        <v>747</v>
      </c>
      <c r="H4" s="99" t="s">
        <v>179</v>
      </c>
    </row>
    <row r="5" spans="2:12" x14ac:dyDescent="0.25">
      <c r="B5" s="164"/>
      <c r="C5" s="164"/>
      <c r="D5" s="99" t="s">
        <v>129</v>
      </c>
      <c r="E5" s="99" t="s">
        <v>131</v>
      </c>
      <c r="F5" s="99" t="s">
        <v>36</v>
      </c>
      <c r="G5" s="99" t="s">
        <v>746</v>
      </c>
      <c r="H5" s="99" t="s">
        <v>181</v>
      </c>
    </row>
    <row r="6" spans="2:12" x14ac:dyDescent="0.25">
      <c r="B6" s="164" t="s">
        <v>54</v>
      </c>
      <c r="C6" s="164" t="s">
        <v>133</v>
      </c>
      <c r="D6" s="99" t="s">
        <v>134</v>
      </c>
      <c r="E6" s="99" t="s">
        <v>130</v>
      </c>
      <c r="F6" s="99" t="s">
        <v>54</v>
      </c>
      <c r="G6" s="99" t="s">
        <v>738</v>
      </c>
      <c r="H6" s="99" t="s">
        <v>176</v>
      </c>
    </row>
    <row r="7" spans="2:12" x14ac:dyDescent="0.25">
      <c r="B7" s="164"/>
      <c r="C7" s="164"/>
      <c r="D7" s="99" t="s">
        <v>135</v>
      </c>
      <c r="E7" s="99" t="s">
        <v>131</v>
      </c>
      <c r="F7" s="99" t="s">
        <v>54</v>
      </c>
      <c r="G7" s="99" t="s">
        <v>739</v>
      </c>
      <c r="H7" s="99" t="s">
        <v>177</v>
      </c>
    </row>
    <row r="8" spans="2:12" x14ac:dyDescent="0.25">
      <c r="B8" s="164" t="s">
        <v>136</v>
      </c>
      <c r="C8" s="164"/>
      <c r="D8" s="99" t="s">
        <v>138</v>
      </c>
      <c r="E8" s="99" t="s">
        <v>130</v>
      </c>
      <c r="F8" s="99" t="s">
        <v>36</v>
      </c>
      <c r="G8" s="99" t="s">
        <v>734</v>
      </c>
      <c r="H8" s="99" t="s">
        <v>183</v>
      </c>
    </row>
    <row r="9" spans="2:12" x14ac:dyDescent="0.25">
      <c r="B9" s="164"/>
      <c r="C9" s="164"/>
      <c r="D9" s="99" t="s">
        <v>137</v>
      </c>
      <c r="E9" s="99" t="s">
        <v>130</v>
      </c>
      <c r="F9" s="99" t="s">
        <v>36</v>
      </c>
      <c r="G9" s="99" t="s">
        <v>735</v>
      </c>
      <c r="H9" s="99" t="s">
        <v>184</v>
      </c>
    </row>
    <row r="10" spans="2:12" x14ac:dyDescent="0.25">
      <c r="B10" s="164"/>
      <c r="C10" s="164"/>
      <c r="D10" s="99" t="s">
        <v>139</v>
      </c>
      <c r="E10" s="99" t="s">
        <v>130</v>
      </c>
      <c r="F10" s="99" t="s">
        <v>36</v>
      </c>
      <c r="G10" s="99" t="s">
        <v>736</v>
      </c>
      <c r="H10" s="99" t="s">
        <v>185</v>
      </c>
    </row>
    <row r="11" spans="2:12" x14ac:dyDescent="0.25">
      <c r="B11" s="164"/>
      <c r="C11" s="164"/>
      <c r="D11" s="99" t="s">
        <v>140</v>
      </c>
      <c r="E11" s="99" t="s">
        <v>130</v>
      </c>
      <c r="F11" s="99" t="s">
        <v>36</v>
      </c>
      <c r="G11" s="99" t="s">
        <v>737</v>
      </c>
      <c r="H11" s="99" t="s">
        <v>186</v>
      </c>
    </row>
    <row r="12" spans="2:12" x14ac:dyDescent="0.25">
      <c r="B12" s="100" t="s">
        <v>141</v>
      </c>
      <c r="C12" s="100" t="s">
        <v>142</v>
      </c>
      <c r="D12" s="99" t="s">
        <v>146</v>
      </c>
      <c r="E12" s="99" t="s">
        <v>131</v>
      </c>
      <c r="F12" s="99" t="s">
        <v>732</v>
      </c>
      <c r="G12" s="99" t="s">
        <v>730</v>
      </c>
      <c r="H12" s="99" t="s">
        <v>168</v>
      </c>
    </row>
    <row r="13" spans="2:12" x14ac:dyDescent="0.25">
      <c r="B13" s="164" t="s">
        <v>143</v>
      </c>
      <c r="C13" s="164" t="s">
        <v>144</v>
      </c>
      <c r="D13" s="99" t="s">
        <v>145</v>
      </c>
      <c r="E13" s="99" t="s">
        <v>131</v>
      </c>
      <c r="F13" s="99" t="s">
        <v>733</v>
      </c>
      <c r="G13" s="99" t="s">
        <v>731</v>
      </c>
      <c r="H13" s="99" t="s">
        <v>169</v>
      </c>
    </row>
    <row r="14" spans="2:12" x14ac:dyDescent="0.25">
      <c r="B14" s="164"/>
      <c r="C14" s="164"/>
      <c r="D14" s="99" t="s">
        <v>147</v>
      </c>
      <c r="E14" s="99" t="s">
        <v>131</v>
      </c>
      <c r="F14" s="99" t="s">
        <v>757</v>
      </c>
      <c r="G14" s="99" t="s">
        <v>756</v>
      </c>
      <c r="H14" s="99" t="s">
        <v>170</v>
      </c>
      <c r="I14" s="99" t="s">
        <v>758</v>
      </c>
    </row>
    <row r="15" spans="2:12" x14ac:dyDescent="0.25">
      <c r="B15" s="100" t="s">
        <v>149</v>
      </c>
      <c r="C15" s="100" t="s">
        <v>148</v>
      </c>
      <c r="D15" s="99" t="s">
        <v>189</v>
      </c>
      <c r="E15" s="99" t="s">
        <v>131</v>
      </c>
      <c r="F15" s="99" t="s">
        <v>36</v>
      </c>
      <c r="G15" s="99" t="s">
        <v>740</v>
      </c>
      <c r="H15" s="99" t="s">
        <v>187</v>
      </c>
      <c r="L15" s="98"/>
    </row>
    <row r="16" spans="2:12" x14ac:dyDescent="0.25">
      <c r="B16" s="100" t="s">
        <v>150</v>
      </c>
      <c r="C16" s="100" t="s">
        <v>148</v>
      </c>
      <c r="D16" s="99" t="s">
        <v>190</v>
      </c>
      <c r="E16" s="99" t="s">
        <v>131</v>
      </c>
      <c r="F16" s="99" t="s">
        <v>36</v>
      </c>
      <c r="G16" s="99" t="s">
        <v>741</v>
      </c>
      <c r="H16" s="99" t="s">
        <v>188</v>
      </c>
    </row>
    <row r="17" spans="2:11" x14ac:dyDescent="0.25">
      <c r="B17" s="100" t="s">
        <v>152</v>
      </c>
      <c r="C17" s="100" t="s">
        <v>151</v>
      </c>
      <c r="D17" s="104" t="s">
        <v>800</v>
      </c>
      <c r="E17" s="99" t="s">
        <v>131</v>
      </c>
      <c r="F17" s="99" t="s">
        <v>742</v>
      </c>
      <c r="G17" s="99" t="s">
        <v>745</v>
      </c>
      <c r="H17" s="99" t="s">
        <v>799</v>
      </c>
    </row>
    <row r="18" spans="2:11" s="1" customFormat="1" x14ac:dyDescent="0.25">
      <c r="B18" s="100" t="s">
        <v>152</v>
      </c>
      <c r="C18" s="100" t="s">
        <v>151</v>
      </c>
      <c r="D18" s="104" t="s">
        <v>801</v>
      </c>
      <c r="E18" s="104" t="s">
        <v>131</v>
      </c>
      <c r="F18" s="104" t="s">
        <v>743</v>
      </c>
      <c r="G18" s="104" t="s">
        <v>744</v>
      </c>
      <c r="H18" s="104" t="s">
        <v>805</v>
      </c>
    </row>
    <row r="19" spans="2:11" x14ac:dyDescent="0.25">
      <c r="B19" s="100"/>
      <c r="C19" s="100"/>
      <c r="D19" s="104" t="s">
        <v>804</v>
      </c>
      <c r="E19" s="99" t="s">
        <v>131</v>
      </c>
      <c r="F19" s="99" t="s">
        <v>802</v>
      </c>
      <c r="G19" s="99"/>
      <c r="H19" s="99" t="s">
        <v>803</v>
      </c>
      <c r="K19" s="98"/>
    </row>
    <row r="20" spans="2:11" x14ac:dyDescent="0.25">
      <c r="B20" s="164" t="s">
        <v>153</v>
      </c>
      <c r="C20" s="164" t="s">
        <v>154</v>
      </c>
      <c r="D20" s="99" t="s">
        <v>171</v>
      </c>
      <c r="E20" s="99" t="s">
        <v>173</v>
      </c>
      <c r="F20" s="99" t="s">
        <v>26</v>
      </c>
      <c r="G20" s="99" t="s">
        <v>754</v>
      </c>
      <c r="H20" s="99" t="s">
        <v>174</v>
      </c>
    </row>
    <row r="21" spans="2:11" x14ac:dyDescent="0.25">
      <c r="B21" s="164"/>
      <c r="C21" s="164"/>
      <c r="D21" s="99" t="s">
        <v>172</v>
      </c>
      <c r="E21" s="99" t="s">
        <v>130</v>
      </c>
      <c r="F21" s="99" t="s">
        <v>26</v>
      </c>
      <c r="G21" s="99" t="s">
        <v>755</v>
      </c>
      <c r="H21" s="99" t="s">
        <v>175</v>
      </c>
    </row>
    <row r="22" spans="2:11" x14ac:dyDescent="0.25">
      <c r="B22" s="164" t="s">
        <v>155</v>
      </c>
      <c r="C22" s="164"/>
      <c r="D22" s="99" t="s">
        <v>158</v>
      </c>
      <c r="E22" s="99" t="s">
        <v>130</v>
      </c>
      <c r="F22" s="99" t="s">
        <v>155</v>
      </c>
      <c r="G22" s="99" t="s">
        <v>749</v>
      </c>
      <c r="H22" s="99" t="s">
        <v>159</v>
      </c>
    </row>
    <row r="23" spans="2:11" x14ac:dyDescent="0.25">
      <c r="B23" s="164"/>
      <c r="C23" s="164"/>
      <c r="D23" s="99" t="s">
        <v>160</v>
      </c>
      <c r="E23" s="99" t="s">
        <v>130</v>
      </c>
      <c r="F23" s="104" t="s">
        <v>155</v>
      </c>
      <c r="G23" s="99" t="s">
        <v>750</v>
      </c>
      <c r="H23" s="99" t="s">
        <v>165</v>
      </c>
    </row>
    <row r="24" spans="2:11" x14ac:dyDescent="0.25">
      <c r="B24" s="164"/>
      <c r="C24" s="164"/>
      <c r="D24" s="99" t="s">
        <v>161</v>
      </c>
      <c r="E24" s="99" t="s">
        <v>131</v>
      </c>
      <c r="F24" s="99" t="s">
        <v>155</v>
      </c>
      <c r="G24" s="99" t="s">
        <v>751</v>
      </c>
      <c r="H24" s="99" t="s">
        <v>162</v>
      </c>
    </row>
    <row r="25" spans="2:11" x14ac:dyDescent="0.25">
      <c r="B25" s="164"/>
      <c r="C25" s="164"/>
      <c r="D25" s="99" t="s">
        <v>163</v>
      </c>
      <c r="E25" s="99" t="s">
        <v>131</v>
      </c>
      <c r="F25" s="99" t="s">
        <v>155</v>
      </c>
      <c r="G25" s="99" t="s">
        <v>752</v>
      </c>
      <c r="H25" s="99" t="s">
        <v>164</v>
      </c>
    </row>
    <row r="26" spans="2:11" x14ac:dyDescent="0.25">
      <c r="B26" s="164"/>
      <c r="C26" s="164"/>
      <c r="D26" s="99" t="s">
        <v>166</v>
      </c>
      <c r="E26" s="101" t="s">
        <v>72</v>
      </c>
      <c r="F26" s="99" t="s">
        <v>155</v>
      </c>
      <c r="G26" s="99" t="s">
        <v>753</v>
      </c>
      <c r="H26" s="99" t="s">
        <v>167</v>
      </c>
    </row>
  </sheetData>
  <mergeCells count="11">
    <mergeCell ref="B13:B14"/>
    <mergeCell ref="C13:C14"/>
    <mergeCell ref="B20:B21"/>
    <mergeCell ref="C20:C21"/>
    <mergeCell ref="B22:C26"/>
    <mergeCell ref="B8:C11"/>
    <mergeCell ref="B2:C2"/>
    <mergeCell ref="B3:B5"/>
    <mergeCell ref="C3:C5"/>
    <mergeCell ref="B6:B7"/>
    <mergeCell ref="C6:C7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BE8E-17CD-47F5-A099-8E706D2A2991}">
  <dimension ref="B2:R101"/>
  <sheetViews>
    <sheetView topLeftCell="A16" zoomScale="70" zoomScaleNormal="70" workbookViewId="0">
      <selection activeCell="G31" sqref="F31:G31"/>
    </sheetView>
  </sheetViews>
  <sheetFormatPr baseColWidth="10" defaultColWidth="11.5703125" defaultRowHeight="15" x14ac:dyDescent="0.25"/>
  <cols>
    <col min="1" max="1" width="11.5703125" style="3"/>
    <col min="2" max="2" width="11.5703125" style="11"/>
    <col min="3" max="3" width="18" style="11" bestFit="1" customWidth="1"/>
    <col min="4" max="4" width="20.7109375" style="45" customWidth="1"/>
    <col min="5" max="8" width="11.5703125" style="11"/>
    <col min="9" max="9" width="13.28515625" style="11" customWidth="1"/>
    <col min="10" max="10" width="13.42578125" style="11" customWidth="1"/>
    <col min="11" max="11" width="11.5703125" style="11"/>
    <col min="12" max="13" width="11.5703125" style="3"/>
    <col min="14" max="14" width="25" style="3" customWidth="1"/>
    <col min="15" max="15" width="19.42578125" style="3" customWidth="1"/>
    <col min="16" max="16" width="19.7109375" style="3" customWidth="1"/>
    <col min="17" max="17" width="21.5703125" style="3" bestFit="1" customWidth="1"/>
    <col min="18" max="16384" width="11.5703125" style="3"/>
  </cols>
  <sheetData>
    <row r="2" spans="2:18" ht="15.75" thickBot="1" x14ac:dyDescent="0.3"/>
    <row r="3" spans="2:18" ht="14.45" customHeight="1" x14ac:dyDescent="0.25">
      <c r="B3" s="142" t="s">
        <v>761</v>
      </c>
      <c r="C3" s="148"/>
      <c r="D3" s="148"/>
      <c r="E3" s="148"/>
      <c r="F3" s="148"/>
      <c r="G3" s="148"/>
      <c r="H3" s="148"/>
      <c r="I3" s="148"/>
      <c r="J3" s="148"/>
      <c r="K3" s="143"/>
      <c r="M3" s="142" t="s">
        <v>789</v>
      </c>
      <c r="N3" s="148"/>
      <c r="O3" s="148"/>
      <c r="P3" s="148"/>
      <c r="Q3" s="143"/>
    </row>
    <row r="4" spans="2:18" ht="15" customHeight="1" thickBot="1" x14ac:dyDescent="0.3">
      <c r="B4" s="152"/>
      <c r="C4" s="153"/>
      <c r="D4" s="153"/>
      <c r="E4" s="153"/>
      <c r="F4" s="153"/>
      <c r="G4" s="153"/>
      <c r="H4" s="153"/>
      <c r="I4" s="153"/>
      <c r="J4" s="153"/>
      <c r="K4" s="154"/>
      <c r="M4" s="152"/>
      <c r="N4" s="153"/>
      <c r="O4" s="153"/>
      <c r="P4" s="153"/>
      <c r="Q4" s="154"/>
    </row>
    <row r="5" spans="2:18" x14ac:dyDescent="0.25">
      <c r="B5" s="155" t="s">
        <v>3</v>
      </c>
      <c r="C5" s="155" t="s">
        <v>126</v>
      </c>
      <c r="D5" s="146" t="s">
        <v>607</v>
      </c>
      <c r="E5" s="155" t="s">
        <v>614</v>
      </c>
      <c r="F5" s="155" t="s">
        <v>608</v>
      </c>
      <c r="G5" s="155" t="s">
        <v>609</v>
      </c>
      <c r="H5" s="155" t="s">
        <v>610</v>
      </c>
      <c r="I5" s="155" t="s">
        <v>611</v>
      </c>
      <c r="J5" s="155" t="s">
        <v>612</v>
      </c>
      <c r="K5" s="155" t="s">
        <v>613</v>
      </c>
      <c r="M5" s="193" t="s">
        <v>806</v>
      </c>
      <c r="N5" s="194"/>
      <c r="O5" s="146" t="s">
        <v>786</v>
      </c>
      <c r="P5" s="146" t="s">
        <v>787</v>
      </c>
      <c r="Q5" s="146" t="s">
        <v>788</v>
      </c>
    </row>
    <row r="6" spans="2:18" ht="15.75" thickBot="1" x14ac:dyDescent="0.3">
      <c r="B6" s="156"/>
      <c r="C6" s="156"/>
      <c r="D6" s="147"/>
      <c r="E6" s="156"/>
      <c r="F6" s="156"/>
      <c r="G6" s="156"/>
      <c r="H6" s="156"/>
      <c r="I6" s="156"/>
      <c r="J6" s="156"/>
      <c r="K6" s="156"/>
      <c r="M6" s="195"/>
      <c r="N6" s="196"/>
      <c r="O6" s="147"/>
      <c r="P6" s="147"/>
      <c r="Q6" s="147"/>
    </row>
    <row r="7" spans="2:18" ht="30" x14ac:dyDescent="0.25">
      <c r="B7" s="166" t="s">
        <v>764</v>
      </c>
      <c r="C7" s="39" t="s">
        <v>688</v>
      </c>
      <c r="D7" s="43" t="s">
        <v>617</v>
      </c>
      <c r="E7" s="39" t="s">
        <v>615</v>
      </c>
      <c r="F7" s="39">
        <v>0</v>
      </c>
      <c r="G7" s="39">
        <v>16</v>
      </c>
      <c r="H7" s="39" t="s">
        <v>616</v>
      </c>
      <c r="I7" s="39">
        <v>400</v>
      </c>
      <c r="J7" s="39">
        <v>5100</v>
      </c>
      <c r="K7" s="39">
        <v>5100</v>
      </c>
      <c r="M7" s="189" t="s">
        <v>792</v>
      </c>
      <c r="N7" s="190"/>
      <c r="O7" s="84" t="s">
        <v>108</v>
      </c>
      <c r="P7" s="37" t="s">
        <v>770</v>
      </c>
      <c r="Q7" s="37" t="s">
        <v>793</v>
      </c>
      <c r="R7" s="11" t="s">
        <v>796</v>
      </c>
    </row>
    <row r="8" spans="2:18" ht="45" x14ac:dyDescent="0.25">
      <c r="B8" s="167"/>
      <c r="C8" s="96" t="s">
        <v>689</v>
      </c>
      <c r="D8" s="45" t="s">
        <v>618</v>
      </c>
      <c r="E8" s="73" t="s">
        <v>615</v>
      </c>
      <c r="F8" s="72">
        <v>16</v>
      </c>
      <c r="G8" s="91">
        <v>16</v>
      </c>
      <c r="H8" s="73" t="s">
        <v>616</v>
      </c>
      <c r="I8" s="73">
        <v>400</v>
      </c>
      <c r="J8" s="11">
        <v>5100</v>
      </c>
      <c r="K8" s="73">
        <v>400</v>
      </c>
      <c r="M8" s="191" t="s">
        <v>780</v>
      </c>
      <c r="N8" s="192"/>
      <c r="O8" s="105" t="s">
        <v>797</v>
      </c>
      <c r="P8" s="106" t="s">
        <v>108</v>
      </c>
      <c r="Q8" s="107" t="s">
        <v>118</v>
      </c>
      <c r="R8" s="11" t="s">
        <v>796</v>
      </c>
    </row>
    <row r="9" spans="2:18" ht="30" x14ac:dyDescent="0.25">
      <c r="B9" s="167"/>
      <c r="C9" s="39" t="s">
        <v>690</v>
      </c>
      <c r="D9" s="43" t="s">
        <v>621</v>
      </c>
      <c r="E9" s="39" t="s">
        <v>623</v>
      </c>
      <c r="F9" s="39">
        <v>32</v>
      </c>
      <c r="G9" s="39">
        <v>16</v>
      </c>
      <c r="H9" s="39" t="s">
        <v>616</v>
      </c>
      <c r="I9" s="39">
        <v>-15500</v>
      </c>
      <c r="J9" s="39">
        <v>15500</v>
      </c>
      <c r="K9" s="39">
        <v>15500</v>
      </c>
      <c r="M9" s="185" t="s">
        <v>781</v>
      </c>
      <c r="N9" s="186"/>
      <c r="O9" s="108" t="s">
        <v>773</v>
      </c>
      <c r="P9" s="109" t="s">
        <v>108</v>
      </c>
      <c r="Q9" s="109" t="s">
        <v>118</v>
      </c>
      <c r="R9" s="11" t="s">
        <v>796</v>
      </c>
    </row>
    <row r="10" spans="2:18" ht="45.75" thickBot="1" x14ac:dyDescent="0.3">
      <c r="B10" s="167"/>
      <c r="C10" s="96" t="s">
        <v>691</v>
      </c>
      <c r="D10" s="45" t="s">
        <v>622</v>
      </c>
      <c r="E10" s="73" t="s">
        <v>623</v>
      </c>
      <c r="F10" s="72">
        <v>48</v>
      </c>
      <c r="G10" s="91">
        <v>16</v>
      </c>
      <c r="H10" s="73" t="s">
        <v>616</v>
      </c>
      <c r="I10" s="73">
        <v>-15500</v>
      </c>
      <c r="J10" s="11">
        <v>15500</v>
      </c>
      <c r="K10" s="73">
        <v>-15500</v>
      </c>
      <c r="M10" s="183" t="s">
        <v>782</v>
      </c>
      <c r="N10" s="184"/>
      <c r="O10" s="110" t="s">
        <v>775</v>
      </c>
      <c r="P10" s="111" t="s">
        <v>774</v>
      </c>
      <c r="Q10" s="112" t="s">
        <v>118</v>
      </c>
      <c r="R10" s="11" t="s">
        <v>796</v>
      </c>
    </row>
    <row r="11" spans="2:18" ht="43.15" customHeight="1" x14ac:dyDescent="0.25">
      <c r="B11" s="167"/>
      <c r="C11" s="38" t="s">
        <v>686</v>
      </c>
      <c r="D11" s="81" t="s">
        <v>619</v>
      </c>
      <c r="E11" s="37" t="s">
        <v>615</v>
      </c>
      <c r="F11" s="84">
        <v>64</v>
      </c>
      <c r="G11" s="37">
        <v>16</v>
      </c>
      <c r="H11" s="37" t="s">
        <v>616</v>
      </c>
      <c r="I11" s="38">
        <v>5300</v>
      </c>
      <c r="J11" s="37">
        <v>14100</v>
      </c>
      <c r="K11" s="37">
        <v>14100</v>
      </c>
      <c r="M11" s="185" t="s">
        <v>794</v>
      </c>
      <c r="N11" s="186"/>
      <c r="O11" s="108" t="s">
        <v>108</v>
      </c>
      <c r="P11" s="109" t="s">
        <v>770</v>
      </c>
      <c r="Q11" s="109" t="s">
        <v>793</v>
      </c>
      <c r="R11" s="11" t="s">
        <v>796</v>
      </c>
    </row>
    <row r="12" spans="2:18" ht="30" x14ac:dyDescent="0.25">
      <c r="B12" s="167"/>
      <c r="C12" s="96" t="s">
        <v>687</v>
      </c>
      <c r="D12" s="45" t="s">
        <v>620</v>
      </c>
      <c r="E12" s="73" t="s">
        <v>615</v>
      </c>
      <c r="F12" s="72">
        <v>80</v>
      </c>
      <c r="G12" s="91">
        <v>16</v>
      </c>
      <c r="H12" s="73" t="s">
        <v>616</v>
      </c>
      <c r="I12" s="73">
        <v>5300</v>
      </c>
      <c r="J12" s="11">
        <v>14100</v>
      </c>
      <c r="K12" s="73">
        <v>5300</v>
      </c>
      <c r="M12" s="183" t="s">
        <v>783</v>
      </c>
      <c r="N12" s="184"/>
      <c r="O12" s="110" t="s">
        <v>108</v>
      </c>
      <c r="P12" s="111" t="s">
        <v>108</v>
      </c>
      <c r="Q12" s="112" t="s">
        <v>108</v>
      </c>
      <c r="R12" s="11" t="s">
        <v>796</v>
      </c>
    </row>
    <row r="13" spans="2:18" ht="30" x14ac:dyDescent="0.25">
      <c r="B13" s="167"/>
      <c r="C13" s="39" t="s">
        <v>692</v>
      </c>
      <c r="D13" s="43" t="s">
        <v>651</v>
      </c>
      <c r="E13" s="39" t="s">
        <v>623</v>
      </c>
      <c r="F13" s="39">
        <v>96</v>
      </c>
      <c r="G13" s="39">
        <v>16</v>
      </c>
      <c r="H13" s="39" t="s">
        <v>653</v>
      </c>
      <c r="I13" s="39">
        <v>-800</v>
      </c>
      <c r="J13" s="39">
        <v>800</v>
      </c>
      <c r="K13" s="39">
        <v>510</v>
      </c>
      <c r="M13" s="185" t="s">
        <v>795</v>
      </c>
      <c r="N13" s="186"/>
      <c r="O13" s="108" t="s">
        <v>776</v>
      </c>
      <c r="P13" s="109" t="s">
        <v>770</v>
      </c>
      <c r="Q13" s="109" t="s">
        <v>793</v>
      </c>
      <c r="R13" s="11" t="s">
        <v>796</v>
      </c>
    </row>
    <row r="14" spans="2:18" ht="60" x14ac:dyDescent="0.25">
      <c r="B14" s="167"/>
      <c r="C14" s="96" t="s">
        <v>693</v>
      </c>
      <c r="D14" s="45" t="s">
        <v>652</v>
      </c>
      <c r="E14" s="73" t="s">
        <v>623</v>
      </c>
      <c r="F14" s="72">
        <v>112</v>
      </c>
      <c r="G14" s="91">
        <v>16</v>
      </c>
      <c r="H14" s="73" t="s">
        <v>653</v>
      </c>
      <c r="I14" s="73">
        <v>-800</v>
      </c>
      <c r="J14" s="11">
        <v>800</v>
      </c>
      <c r="K14" s="73">
        <v>-510</v>
      </c>
      <c r="M14" s="183" t="s">
        <v>784</v>
      </c>
      <c r="N14" s="184"/>
      <c r="O14" s="110" t="s">
        <v>779</v>
      </c>
      <c r="P14" s="111" t="s">
        <v>778</v>
      </c>
      <c r="Q14" s="112" t="s">
        <v>118</v>
      </c>
      <c r="R14" s="11" t="s">
        <v>796</v>
      </c>
    </row>
    <row r="15" spans="2:18" ht="45.75" thickBot="1" x14ac:dyDescent="0.3">
      <c r="B15" s="167"/>
      <c r="C15" s="39" t="s">
        <v>694</v>
      </c>
      <c r="D15" s="43" t="s">
        <v>657</v>
      </c>
      <c r="E15" s="39" t="s">
        <v>623</v>
      </c>
      <c r="F15" s="39">
        <v>128</v>
      </c>
      <c r="G15" s="39">
        <v>16</v>
      </c>
      <c r="H15" s="39" t="s">
        <v>658</v>
      </c>
      <c r="I15" s="39">
        <v>-200</v>
      </c>
      <c r="J15" s="39">
        <v>700</v>
      </c>
      <c r="K15" s="39">
        <v>660</v>
      </c>
      <c r="M15" s="187" t="s">
        <v>785</v>
      </c>
      <c r="N15" s="188"/>
      <c r="O15" s="113" t="s">
        <v>771</v>
      </c>
      <c r="P15" s="114" t="s">
        <v>117</v>
      </c>
      <c r="Q15" s="114" t="s">
        <v>118</v>
      </c>
      <c r="R15" s="11" t="s">
        <v>796</v>
      </c>
    </row>
    <row r="16" spans="2:18" ht="45" x14ac:dyDescent="0.25">
      <c r="B16" s="168"/>
      <c r="C16" s="96" t="s">
        <v>695</v>
      </c>
      <c r="D16" s="45" t="s">
        <v>656</v>
      </c>
      <c r="E16" s="93" t="s">
        <v>623</v>
      </c>
      <c r="F16" s="72">
        <v>144</v>
      </c>
      <c r="G16" s="91">
        <v>16</v>
      </c>
      <c r="H16" s="73" t="s">
        <v>658</v>
      </c>
      <c r="I16" s="73">
        <v>-200</v>
      </c>
      <c r="J16" s="11">
        <v>700</v>
      </c>
      <c r="K16" s="73">
        <v>-160</v>
      </c>
    </row>
    <row r="17" spans="2:17" ht="30" x14ac:dyDescent="0.25">
      <c r="B17" s="169" t="s">
        <v>772</v>
      </c>
      <c r="C17" s="41" t="s">
        <v>696</v>
      </c>
      <c r="D17" s="43" t="s">
        <v>660</v>
      </c>
      <c r="E17" s="171" t="s">
        <v>663</v>
      </c>
      <c r="F17" s="39">
        <v>0</v>
      </c>
      <c r="G17" s="39">
        <v>1</v>
      </c>
      <c r="H17" s="94" t="s">
        <v>72</v>
      </c>
      <c r="I17" s="181" t="s">
        <v>667</v>
      </c>
      <c r="J17" s="182"/>
      <c r="K17" s="94">
        <v>0</v>
      </c>
    </row>
    <row r="18" spans="2:17" ht="85.9" customHeight="1" x14ac:dyDescent="0.25">
      <c r="B18" s="170"/>
      <c r="C18" s="68" t="s">
        <v>697</v>
      </c>
      <c r="D18" s="45" t="s">
        <v>661</v>
      </c>
      <c r="E18" s="167"/>
      <c r="F18" s="72">
        <v>1</v>
      </c>
      <c r="G18" s="91">
        <v>3</v>
      </c>
      <c r="H18" s="97" t="s">
        <v>72</v>
      </c>
      <c r="I18" s="178" t="s">
        <v>914</v>
      </c>
      <c r="J18" s="179"/>
      <c r="K18" s="73">
        <v>0</v>
      </c>
    </row>
    <row r="19" spans="2:17" ht="57.6" customHeight="1" x14ac:dyDescent="0.25">
      <c r="B19" s="170"/>
      <c r="C19" s="41" t="s">
        <v>698</v>
      </c>
      <c r="D19" s="43" t="s">
        <v>662</v>
      </c>
      <c r="E19" s="168"/>
      <c r="F19" s="39">
        <v>4</v>
      </c>
      <c r="G19" s="39">
        <v>3</v>
      </c>
      <c r="H19" s="94" t="s">
        <v>72</v>
      </c>
      <c r="I19" s="176" t="s">
        <v>762</v>
      </c>
      <c r="J19" s="177"/>
      <c r="K19" s="39">
        <v>0</v>
      </c>
    </row>
    <row r="20" spans="2:17" ht="30" x14ac:dyDescent="0.25">
      <c r="B20" s="170"/>
      <c r="C20" s="96" t="s">
        <v>699</v>
      </c>
      <c r="D20" s="45" t="s">
        <v>664</v>
      </c>
      <c r="E20" s="73" t="s">
        <v>623</v>
      </c>
      <c r="F20" s="72">
        <v>16</v>
      </c>
      <c r="G20" s="91">
        <v>16</v>
      </c>
      <c r="H20" s="95" t="s">
        <v>760</v>
      </c>
      <c r="I20" s="97" t="s">
        <v>72</v>
      </c>
      <c r="J20" s="74" t="s">
        <v>72</v>
      </c>
      <c r="K20" s="73">
        <v>0</v>
      </c>
    </row>
    <row r="21" spans="2:17" ht="30" x14ac:dyDescent="0.25">
      <c r="B21" s="160"/>
      <c r="C21" s="39" t="s">
        <v>700</v>
      </c>
      <c r="D21" s="43" t="s">
        <v>666</v>
      </c>
      <c r="E21" s="39" t="s">
        <v>759</v>
      </c>
      <c r="F21" s="39">
        <v>32</v>
      </c>
      <c r="G21" s="39">
        <v>32</v>
      </c>
      <c r="H21" s="41" t="s">
        <v>665</v>
      </c>
      <c r="I21" s="94" t="s">
        <v>72</v>
      </c>
      <c r="J21" s="94" t="s">
        <v>72</v>
      </c>
      <c r="K21" s="39">
        <v>0</v>
      </c>
    </row>
    <row r="22" spans="2:17" ht="30" x14ac:dyDescent="0.25">
      <c r="B22" s="171" t="s">
        <v>765</v>
      </c>
      <c r="C22" s="130" t="s">
        <v>673</v>
      </c>
      <c r="D22" s="44" t="s">
        <v>668</v>
      </c>
      <c r="E22" s="11" t="s">
        <v>908</v>
      </c>
      <c r="F22" s="2">
        <v>0</v>
      </c>
      <c r="G22" s="2">
        <v>1</v>
      </c>
      <c r="H22" s="130" t="s">
        <v>72</v>
      </c>
      <c r="I22" s="178" t="s">
        <v>667</v>
      </c>
      <c r="J22" s="179"/>
      <c r="K22" s="130">
        <v>0</v>
      </c>
    </row>
    <row r="23" spans="2:17" ht="30" x14ac:dyDescent="0.25">
      <c r="B23" s="172"/>
      <c r="C23" s="39" t="s">
        <v>670</v>
      </c>
      <c r="D23" s="131" t="s">
        <v>676</v>
      </c>
      <c r="E23" s="39" t="s">
        <v>615</v>
      </c>
      <c r="F23" s="132">
        <v>1</v>
      </c>
      <c r="G23" s="132">
        <v>15</v>
      </c>
      <c r="H23" s="39" t="s">
        <v>677</v>
      </c>
      <c r="I23" s="39">
        <v>10</v>
      </c>
      <c r="J23" s="132">
        <v>65535</v>
      </c>
      <c r="K23" s="39">
        <v>1000</v>
      </c>
      <c r="Q23" s="171" t="s">
        <v>685</v>
      </c>
    </row>
    <row r="24" spans="2:17" ht="45" x14ac:dyDescent="0.25">
      <c r="B24" s="172"/>
      <c r="C24" s="130" t="s">
        <v>674</v>
      </c>
      <c r="D24" s="133" t="s">
        <v>669</v>
      </c>
      <c r="E24" s="11" t="s">
        <v>908</v>
      </c>
      <c r="F24" s="2">
        <v>16</v>
      </c>
      <c r="G24" s="2">
        <v>1</v>
      </c>
      <c r="H24" s="97" t="s">
        <v>72</v>
      </c>
      <c r="I24" s="178" t="s">
        <v>667</v>
      </c>
      <c r="J24" s="179"/>
      <c r="K24" s="130">
        <v>0</v>
      </c>
      <c r="Q24" s="167"/>
    </row>
    <row r="25" spans="2:17" ht="30" x14ac:dyDescent="0.25">
      <c r="B25" s="172"/>
      <c r="C25" s="39" t="s">
        <v>671</v>
      </c>
      <c r="D25" s="43" t="s">
        <v>678</v>
      </c>
      <c r="E25" s="39" t="s">
        <v>615</v>
      </c>
      <c r="F25" s="132">
        <v>17</v>
      </c>
      <c r="G25" s="132">
        <v>15</v>
      </c>
      <c r="H25" s="39" t="s">
        <v>677</v>
      </c>
      <c r="I25" s="39">
        <v>10</v>
      </c>
      <c r="J25" s="39">
        <v>65535</v>
      </c>
      <c r="K25" s="39">
        <v>1000</v>
      </c>
      <c r="Q25" s="168"/>
    </row>
    <row r="26" spans="2:17" ht="30" x14ac:dyDescent="0.25">
      <c r="B26" s="172"/>
      <c r="C26" s="130" t="s">
        <v>675</v>
      </c>
      <c r="D26" s="44" t="s">
        <v>668</v>
      </c>
      <c r="E26" s="11" t="s">
        <v>908</v>
      </c>
      <c r="F26" s="2">
        <v>32</v>
      </c>
      <c r="G26" s="2">
        <v>1</v>
      </c>
      <c r="H26" s="97" t="s">
        <v>72</v>
      </c>
      <c r="I26" s="178" t="s">
        <v>667</v>
      </c>
      <c r="J26" s="179"/>
      <c r="K26" s="130">
        <v>0</v>
      </c>
    </row>
    <row r="27" spans="2:17" ht="30" x14ac:dyDescent="0.25">
      <c r="B27" s="173"/>
      <c r="C27" s="39" t="s">
        <v>672</v>
      </c>
      <c r="D27" s="131" t="s">
        <v>679</v>
      </c>
      <c r="E27" s="39" t="s">
        <v>615</v>
      </c>
      <c r="F27" s="132">
        <v>33</v>
      </c>
      <c r="G27" s="132">
        <v>15</v>
      </c>
      <c r="H27" s="39" t="s">
        <v>677</v>
      </c>
      <c r="I27" s="39">
        <v>10</v>
      </c>
      <c r="J27" s="132">
        <v>65535</v>
      </c>
      <c r="K27" s="39">
        <v>1000</v>
      </c>
    </row>
    <row r="28" spans="2:17" ht="14.45" customHeight="1" x14ac:dyDescent="0.25">
      <c r="B28" s="169" t="s">
        <v>766</v>
      </c>
      <c r="C28" s="96" t="s">
        <v>763</v>
      </c>
      <c r="D28" s="45" t="s">
        <v>680</v>
      </c>
      <c r="E28" s="169" t="s">
        <v>767</v>
      </c>
      <c r="F28" s="95">
        <v>0</v>
      </c>
      <c r="G28" s="91">
        <v>6</v>
      </c>
      <c r="H28" s="97" t="s">
        <v>72</v>
      </c>
      <c r="I28" s="96">
        <v>0</v>
      </c>
      <c r="J28" s="11">
        <v>63</v>
      </c>
      <c r="K28" s="97" t="s">
        <v>72</v>
      </c>
    </row>
    <row r="29" spans="2:17" x14ac:dyDescent="0.25">
      <c r="B29" s="175"/>
      <c r="C29" s="39" t="s">
        <v>681</v>
      </c>
      <c r="D29" s="43" t="s">
        <v>682</v>
      </c>
      <c r="E29" s="175"/>
      <c r="F29" s="39">
        <v>6</v>
      </c>
      <c r="G29" s="39">
        <v>5</v>
      </c>
      <c r="H29" s="94" t="s">
        <v>72</v>
      </c>
      <c r="I29" s="39">
        <v>0</v>
      </c>
      <c r="J29" s="39">
        <v>31</v>
      </c>
      <c r="K29" s="94" t="s">
        <v>72</v>
      </c>
    </row>
    <row r="30" spans="2:17" x14ac:dyDescent="0.25">
      <c r="B30" s="175"/>
      <c r="C30" s="96" t="s">
        <v>683</v>
      </c>
      <c r="D30" s="45" t="s">
        <v>684</v>
      </c>
      <c r="E30" s="175"/>
      <c r="F30" s="95">
        <v>11</v>
      </c>
      <c r="G30" s="91">
        <v>13</v>
      </c>
      <c r="H30" s="97" t="s">
        <v>72</v>
      </c>
      <c r="I30" s="96">
        <v>0</v>
      </c>
      <c r="J30" s="11">
        <v>8191</v>
      </c>
      <c r="K30" s="97" t="s">
        <v>72</v>
      </c>
    </row>
    <row r="31" spans="2:17" x14ac:dyDescent="0.25">
      <c r="B31" s="157"/>
      <c r="C31" s="103" t="s">
        <v>769</v>
      </c>
      <c r="D31" s="45" t="s">
        <v>768</v>
      </c>
      <c r="E31" s="157"/>
      <c r="F31" s="102">
        <v>25</v>
      </c>
      <c r="G31" s="91">
        <v>8</v>
      </c>
      <c r="H31" s="97" t="s">
        <v>72</v>
      </c>
      <c r="I31" s="39">
        <v>0</v>
      </c>
      <c r="J31" s="39">
        <v>255</v>
      </c>
      <c r="K31" s="97" t="s">
        <v>72</v>
      </c>
    </row>
    <row r="32" spans="2:17" ht="28.9" customHeight="1" x14ac:dyDescent="0.25">
      <c r="B32" s="171" t="s">
        <v>777</v>
      </c>
      <c r="C32" s="39" t="s">
        <v>704</v>
      </c>
      <c r="D32" s="43" t="s">
        <v>707</v>
      </c>
      <c r="E32" s="171" t="s">
        <v>685</v>
      </c>
      <c r="F32" s="39">
        <v>0</v>
      </c>
      <c r="G32" s="39">
        <v>1</v>
      </c>
      <c r="H32" s="94" t="s">
        <v>72</v>
      </c>
      <c r="I32" s="176" t="s">
        <v>713</v>
      </c>
      <c r="J32" s="177"/>
      <c r="K32" s="39">
        <v>0</v>
      </c>
    </row>
    <row r="33" spans="2:11" ht="26.45" customHeight="1" x14ac:dyDescent="0.25">
      <c r="B33" s="172"/>
      <c r="C33" s="96" t="s">
        <v>703</v>
      </c>
      <c r="D33" s="45" t="s">
        <v>708</v>
      </c>
      <c r="E33" s="167"/>
      <c r="F33" s="95">
        <v>1</v>
      </c>
      <c r="G33" s="91">
        <v>1</v>
      </c>
      <c r="H33" s="97" t="s">
        <v>72</v>
      </c>
      <c r="I33" s="178" t="s">
        <v>713</v>
      </c>
      <c r="J33" s="179"/>
      <c r="K33" s="96">
        <v>0</v>
      </c>
    </row>
    <row r="34" spans="2:11" ht="26.45" customHeight="1" x14ac:dyDescent="0.25">
      <c r="B34" s="172"/>
      <c r="C34" s="39" t="s">
        <v>702</v>
      </c>
      <c r="D34" s="43" t="s">
        <v>709</v>
      </c>
      <c r="E34" s="167"/>
      <c r="F34" s="39">
        <v>2</v>
      </c>
      <c r="G34" s="39">
        <v>1</v>
      </c>
      <c r="H34" s="94" t="s">
        <v>72</v>
      </c>
      <c r="I34" s="176" t="s">
        <v>713</v>
      </c>
      <c r="J34" s="180"/>
      <c r="K34" s="39">
        <v>0</v>
      </c>
    </row>
    <row r="35" spans="2:11" ht="45" x14ac:dyDescent="0.25">
      <c r="B35" s="172"/>
      <c r="C35" s="96" t="s">
        <v>701</v>
      </c>
      <c r="D35" s="45" t="s">
        <v>710</v>
      </c>
      <c r="E35" s="167"/>
      <c r="F35" s="95">
        <v>3</v>
      </c>
      <c r="G35" s="91">
        <v>1</v>
      </c>
      <c r="H35" s="97" t="s">
        <v>72</v>
      </c>
      <c r="I35" s="178" t="s">
        <v>713</v>
      </c>
      <c r="J35" s="179"/>
      <c r="K35" s="96">
        <v>0</v>
      </c>
    </row>
    <row r="36" spans="2:11" ht="27.6" customHeight="1" x14ac:dyDescent="0.25">
      <c r="B36" s="172"/>
      <c r="C36" s="39" t="s">
        <v>705</v>
      </c>
      <c r="D36" s="43" t="s">
        <v>711</v>
      </c>
      <c r="E36" s="167"/>
      <c r="F36" s="39">
        <v>4</v>
      </c>
      <c r="G36" s="39">
        <v>1</v>
      </c>
      <c r="H36" s="94" t="s">
        <v>72</v>
      </c>
      <c r="I36" s="176" t="s">
        <v>713</v>
      </c>
      <c r="J36" s="180"/>
      <c r="K36" s="39">
        <v>0</v>
      </c>
    </row>
    <row r="37" spans="2:11" ht="26.45" customHeight="1" x14ac:dyDescent="0.25">
      <c r="B37" s="172"/>
      <c r="C37" s="96" t="s">
        <v>706</v>
      </c>
      <c r="D37" s="45" t="s">
        <v>712</v>
      </c>
      <c r="E37" s="168"/>
      <c r="F37" s="95">
        <v>5</v>
      </c>
      <c r="G37" s="91">
        <v>1</v>
      </c>
      <c r="H37" s="97" t="s">
        <v>72</v>
      </c>
      <c r="I37" s="178" t="s">
        <v>713</v>
      </c>
      <c r="J37" s="179"/>
      <c r="K37" s="96">
        <v>0</v>
      </c>
    </row>
    <row r="38" spans="2:11" x14ac:dyDescent="0.25">
      <c r="B38" s="173"/>
      <c r="C38" s="39" t="s">
        <v>714</v>
      </c>
      <c r="D38" s="43" t="s">
        <v>715</v>
      </c>
      <c r="E38" s="39" t="s">
        <v>615</v>
      </c>
      <c r="F38" s="39">
        <v>0</v>
      </c>
      <c r="G38" s="39">
        <v>16</v>
      </c>
      <c r="H38" s="94" t="s">
        <v>72</v>
      </c>
      <c r="I38" s="94" t="s">
        <v>72</v>
      </c>
      <c r="J38" s="94" t="s">
        <v>72</v>
      </c>
      <c r="K38" s="39">
        <v>0</v>
      </c>
    </row>
    <row r="39" spans="2:11" x14ac:dyDescent="0.25">
      <c r="B39" s="174" t="s">
        <v>716</v>
      </c>
      <c r="C39" s="135" t="s">
        <v>717</v>
      </c>
      <c r="D39" s="44" t="s">
        <v>724</v>
      </c>
      <c r="E39" s="135" t="s">
        <v>615</v>
      </c>
      <c r="F39" s="135">
        <v>0</v>
      </c>
      <c r="G39" s="135">
        <v>16</v>
      </c>
      <c r="H39" s="97" t="s">
        <v>616</v>
      </c>
      <c r="I39" s="135">
        <v>0</v>
      </c>
      <c r="J39" s="135">
        <v>6000</v>
      </c>
      <c r="K39" s="97" t="s">
        <v>72</v>
      </c>
    </row>
    <row r="40" spans="2:11" x14ac:dyDescent="0.25">
      <c r="B40" s="170"/>
      <c r="C40" s="39" t="s">
        <v>719</v>
      </c>
      <c r="D40" s="131" t="s">
        <v>725</v>
      </c>
      <c r="E40" s="39" t="s">
        <v>623</v>
      </c>
      <c r="F40" s="41">
        <v>0</v>
      </c>
      <c r="G40" s="92">
        <v>16</v>
      </c>
      <c r="H40" s="94" t="s">
        <v>729</v>
      </c>
      <c r="I40" s="39">
        <v>-16500</v>
      </c>
      <c r="J40" s="132">
        <v>16500</v>
      </c>
      <c r="K40" s="94" t="s">
        <v>72</v>
      </c>
    </row>
    <row r="41" spans="2:11" x14ac:dyDescent="0.25">
      <c r="B41" s="170"/>
      <c r="C41" s="96" t="s">
        <v>718</v>
      </c>
      <c r="D41" s="45" t="s">
        <v>723</v>
      </c>
      <c r="E41" s="96" t="s">
        <v>615</v>
      </c>
      <c r="F41" s="95">
        <v>0</v>
      </c>
      <c r="G41" s="91">
        <v>16</v>
      </c>
      <c r="H41" s="97" t="s">
        <v>616</v>
      </c>
      <c r="I41" s="96">
        <v>0</v>
      </c>
      <c r="J41" s="11">
        <v>15000</v>
      </c>
      <c r="K41" s="97" t="s">
        <v>72</v>
      </c>
    </row>
    <row r="42" spans="2:11" x14ac:dyDescent="0.25">
      <c r="B42" s="170"/>
      <c r="C42" s="39" t="s">
        <v>720</v>
      </c>
      <c r="D42" s="43" t="s">
        <v>726</v>
      </c>
      <c r="E42" s="39" t="s">
        <v>623</v>
      </c>
      <c r="F42" s="39">
        <v>0</v>
      </c>
      <c r="G42" s="39">
        <v>16</v>
      </c>
      <c r="H42" s="94" t="s">
        <v>658</v>
      </c>
      <c r="I42" s="39">
        <v>-200</v>
      </c>
      <c r="J42" s="39">
        <v>700</v>
      </c>
      <c r="K42" s="94" t="s">
        <v>72</v>
      </c>
    </row>
    <row r="43" spans="2:11" x14ac:dyDescent="0.25">
      <c r="B43" s="170"/>
      <c r="C43" s="96" t="s">
        <v>721</v>
      </c>
      <c r="D43" s="45" t="s">
        <v>727</v>
      </c>
      <c r="E43" s="96" t="s">
        <v>623</v>
      </c>
      <c r="F43" s="95">
        <v>0</v>
      </c>
      <c r="G43" s="91">
        <v>16</v>
      </c>
      <c r="H43" s="97" t="s">
        <v>658</v>
      </c>
      <c r="I43" s="96">
        <v>-200</v>
      </c>
      <c r="J43" s="11">
        <v>700</v>
      </c>
      <c r="K43" s="97" t="s">
        <v>72</v>
      </c>
    </row>
    <row r="44" spans="2:11" ht="29.45" customHeight="1" x14ac:dyDescent="0.25">
      <c r="B44" s="160"/>
      <c r="C44" s="39" t="s">
        <v>722</v>
      </c>
      <c r="D44" s="43" t="s">
        <v>728</v>
      </c>
      <c r="E44" s="39" t="s">
        <v>623</v>
      </c>
      <c r="F44" s="39">
        <v>0</v>
      </c>
      <c r="G44" s="39">
        <v>16</v>
      </c>
      <c r="H44" s="94" t="s">
        <v>658</v>
      </c>
      <c r="I44" s="39">
        <v>-200</v>
      </c>
      <c r="J44" s="39">
        <v>700</v>
      </c>
      <c r="K44" s="94" t="s">
        <v>72</v>
      </c>
    </row>
    <row r="45" spans="2:11" x14ac:dyDescent="0.25">
      <c r="B45" s="96"/>
      <c r="C45" s="96"/>
      <c r="E45" s="96"/>
      <c r="F45" s="95"/>
      <c r="G45" s="91"/>
      <c r="H45" s="96"/>
      <c r="I45" s="96"/>
      <c r="K45" s="96"/>
    </row>
    <row r="46" spans="2:11" x14ac:dyDescent="0.25">
      <c r="B46" s="39"/>
      <c r="C46" s="39"/>
      <c r="D46" s="43"/>
      <c r="E46" s="39"/>
      <c r="F46" s="39"/>
      <c r="G46" s="39"/>
      <c r="H46" s="39"/>
      <c r="I46" s="39"/>
      <c r="J46" s="39"/>
      <c r="K46" s="39"/>
    </row>
    <row r="47" spans="2:11" x14ac:dyDescent="0.25">
      <c r="B47" s="96"/>
      <c r="C47" s="96"/>
      <c r="E47" s="96"/>
      <c r="F47" s="95"/>
      <c r="G47" s="91"/>
      <c r="H47" s="96"/>
      <c r="I47" s="96"/>
      <c r="K47" s="96"/>
    </row>
    <row r="48" spans="2:11" x14ac:dyDescent="0.25">
      <c r="B48" s="39"/>
      <c r="C48" s="39"/>
      <c r="D48" s="43"/>
      <c r="E48" s="39"/>
      <c r="F48" s="39"/>
      <c r="G48" s="39"/>
      <c r="H48" s="39"/>
      <c r="I48" s="39"/>
      <c r="J48" s="39"/>
      <c r="K48" s="39"/>
    </row>
    <row r="49" spans="2:11" x14ac:dyDescent="0.25">
      <c r="B49" s="96"/>
      <c r="C49" s="96"/>
      <c r="E49" s="96"/>
      <c r="F49" s="95"/>
      <c r="G49" s="91"/>
      <c r="H49" s="96"/>
      <c r="I49" s="96"/>
      <c r="K49" s="96"/>
    </row>
    <row r="50" spans="2:11" x14ac:dyDescent="0.25">
      <c r="B50" s="39"/>
      <c r="C50" s="39"/>
      <c r="D50" s="43"/>
      <c r="E50" s="39"/>
      <c r="F50" s="39"/>
      <c r="G50" s="39"/>
      <c r="H50" s="39"/>
      <c r="I50" s="39"/>
      <c r="J50" s="39"/>
      <c r="K50" s="39"/>
    </row>
    <row r="51" spans="2:11" x14ac:dyDescent="0.25">
      <c r="B51" s="96"/>
      <c r="C51" s="96"/>
      <c r="E51" s="96"/>
      <c r="F51" s="95"/>
      <c r="G51" s="91"/>
      <c r="H51" s="96"/>
      <c r="I51" s="96"/>
      <c r="K51" s="96"/>
    </row>
    <row r="52" spans="2:11" x14ac:dyDescent="0.25">
      <c r="B52" s="39"/>
      <c r="C52" s="39"/>
      <c r="D52" s="43"/>
      <c r="E52" s="39"/>
      <c r="F52" s="39"/>
      <c r="G52" s="39"/>
      <c r="H52" s="39"/>
      <c r="I52" s="39"/>
      <c r="J52" s="39"/>
      <c r="K52" s="39"/>
    </row>
    <row r="53" spans="2:11" x14ac:dyDescent="0.25">
      <c r="B53" s="96"/>
      <c r="C53" s="96"/>
      <c r="E53" s="96"/>
      <c r="F53" s="95"/>
      <c r="G53" s="91"/>
      <c r="H53" s="96"/>
      <c r="I53" s="96"/>
      <c r="K53" s="96"/>
    </row>
    <row r="54" spans="2:11" x14ac:dyDescent="0.25">
      <c r="B54" s="39"/>
      <c r="C54" s="39"/>
      <c r="D54" s="43"/>
      <c r="E54" s="39"/>
      <c r="F54" s="39"/>
      <c r="G54" s="39"/>
      <c r="H54" s="39"/>
      <c r="I54" s="39"/>
      <c r="J54" s="39"/>
      <c r="K54" s="39"/>
    </row>
    <row r="55" spans="2:11" x14ac:dyDescent="0.25">
      <c r="B55" s="96"/>
      <c r="C55" s="96"/>
      <c r="E55" s="96"/>
      <c r="F55" s="95"/>
      <c r="G55" s="91"/>
      <c r="H55" s="96"/>
      <c r="I55" s="96"/>
      <c r="K55" s="96"/>
    </row>
    <row r="56" spans="2:11" x14ac:dyDescent="0.25">
      <c r="B56" s="39"/>
      <c r="C56" s="39"/>
      <c r="D56" s="43"/>
      <c r="E56" s="39"/>
      <c r="F56" s="39"/>
      <c r="G56" s="39"/>
      <c r="H56" s="39"/>
      <c r="I56" s="39"/>
      <c r="J56" s="39"/>
      <c r="K56" s="39"/>
    </row>
    <row r="57" spans="2:11" x14ac:dyDescent="0.25">
      <c r="B57" s="96"/>
      <c r="C57" s="96"/>
      <c r="E57" s="96"/>
      <c r="F57" s="95"/>
      <c r="G57" s="91"/>
      <c r="H57" s="96"/>
      <c r="I57" s="96"/>
      <c r="K57" s="96"/>
    </row>
    <row r="58" spans="2:11" x14ac:dyDescent="0.25">
      <c r="B58" s="39"/>
      <c r="C58" s="39"/>
      <c r="D58" s="43"/>
      <c r="E58" s="39"/>
      <c r="F58" s="39"/>
      <c r="G58" s="39"/>
      <c r="H58" s="39"/>
      <c r="I58" s="39"/>
      <c r="J58" s="39"/>
      <c r="K58" s="39"/>
    </row>
    <row r="59" spans="2:11" x14ac:dyDescent="0.25">
      <c r="B59" s="96"/>
      <c r="C59" s="96"/>
      <c r="E59" s="96"/>
      <c r="F59" s="95"/>
      <c r="G59" s="91"/>
      <c r="H59" s="96"/>
      <c r="I59" s="96"/>
      <c r="K59" s="96"/>
    </row>
    <row r="60" spans="2:11" x14ac:dyDescent="0.25">
      <c r="B60" s="39"/>
      <c r="C60" s="39"/>
      <c r="D60" s="43"/>
      <c r="E60" s="39"/>
      <c r="F60" s="39"/>
      <c r="G60" s="39"/>
      <c r="H60" s="39"/>
      <c r="I60" s="39"/>
      <c r="J60" s="39"/>
      <c r="K60" s="39"/>
    </row>
    <row r="61" spans="2:11" x14ac:dyDescent="0.25">
      <c r="B61" s="96"/>
      <c r="C61" s="96"/>
      <c r="E61" s="96"/>
      <c r="F61" s="95"/>
      <c r="G61" s="91"/>
      <c r="H61" s="96"/>
      <c r="I61" s="96"/>
      <c r="K61" s="96"/>
    </row>
    <row r="62" spans="2:11" x14ac:dyDescent="0.25">
      <c r="B62" s="39"/>
      <c r="C62" s="39"/>
      <c r="D62" s="43"/>
      <c r="E62" s="39"/>
      <c r="F62" s="39"/>
      <c r="G62" s="39"/>
      <c r="H62" s="39"/>
      <c r="I62" s="39"/>
      <c r="J62" s="39"/>
      <c r="K62" s="39"/>
    </row>
    <row r="63" spans="2:11" x14ac:dyDescent="0.25">
      <c r="B63" s="96"/>
      <c r="C63" s="96"/>
      <c r="E63" s="96"/>
      <c r="F63" s="95"/>
      <c r="G63" s="91"/>
      <c r="H63" s="96"/>
      <c r="I63" s="96"/>
      <c r="K63" s="96"/>
    </row>
    <row r="64" spans="2:11" x14ac:dyDescent="0.25">
      <c r="B64" s="39"/>
      <c r="C64" s="39"/>
      <c r="D64" s="43"/>
      <c r="E64" s="39"/>
      <c r="F64" s="39"/>
      <c r="G64" s="39"/>
      <c r="H64" s="39"/>
      <c r="I64" s="39"/>
      <c r="J64" s="39"/>
      <c r="K64" s="39"/>
    </row>
    <row r="65" spans="2:11" x14ac:dyDescent="0.25">
      <c r="B65" s="96"/>
      <c r="C65" s="96"/>
      <c r="E65" s="96"/>
      <c r="F65" s="95"/>
      <c r="G65" s="91"/>
      <c r="H65" s="96"/>
      <c r="I65" s="96"/>
      <c r="K65" s="96"/>
    </row>
    <row r="66" spans="2:11" x14ac:dyDescent="0.25">
      <c r="B66" s="39"/>
      <c r="C66" s="39"/>
      <c r="D66" s="43"/>
      <c r="E66" s="39"/>
      <c r="F66" s="39"/>
      <c r="G66" s="39"/>
      <c r="H66" s="39"/>
      <c r="I66" s="39"/>
      <c r="J66" s="39"/>
      <c r="K66" s="39"/>
    </row>
    <row r="67" spans="2:11" x14ac:dyDescent="0.25">
      <c r="B67" s="96"/>
      <c r="C67" s="96"/>
      <c r="E67" s="96"/>
      <c r="F67" s="95"/>
      <c r="G67" s="91"/>
      <c r="H67" s="96"/>
      <c r="I67" s="96"/>
      <c r="K67" s="96"/>
    </row>
    <row r="68" spans="2:11" x14ac:dyDescent="0.25">
      <c r="B68" s="39"/>
      <c r="C68" s="39"/>
      <c r="D68" s="43"/>
      <c r="E68" s="39"/>
      <c r="F68" s="39"/>
      <c r="G68" s="39"/>
      <c r="H68" s="39"/>
      <c r="I68" s="39"/>
      <c r="J68" s="39"/>
      <c r="K68" s="39"/>
    </row>
    <row r="69" spans="2:11" x14ac:dyDescent="0.25">
      <c r="B69" s="96"/>
      <c r="C69" s="96"/>
      <c r="E69" s="96"/>
      <c r="F69" s="95"/>
      <c r="G69" s="91"/>
      <c r="H69" s="96"/>
      <c r="I69" s="96"/>
      <c r="K69" s="96"/>
    </row>
    <row r="70" spans="2:11" x14ac:dyDescent="0.25">
      <c r="B70" s="39"/>
      <c r="C70" s="39"/>
      <c r="D70" s="43"/>
      <c r="E70" s="39"/>
      <c r="F70" s="39"/>
      <c r="G70" s="39"/>
      <c r="H70" s="39"/>
      <c r="I70" s="39"/>
      <c r="J70" s="39"/>
      <c r="K70" s="39"/>
    </row>
    <row r="71" spans="2:11" x14ac:dyDescent="0.25">
      <c r="B71" s="96"/>
      <c r="C71" s="96"/>
      <c r="E71" s="96"/>
      <c r="F71" s="95"/>
      <c r="G71" s="91"/>
      <c r="H71" s="96"/>
      <c r="I71" s="96"/>
      <c r="K71" s="96"/>
    </row>
    <row r="72" spans="2:11" x14ac:dyDescent="0.25">
      <c r="B72" s="39"/>
      <c r="C72" s="39"/>
      <c r="D72" s="43"/>
      <c r="E72" s="39"/>
      <c r="F72" s="39"/>
      <c r="G72" s="39"/>
      <c r="H72" s="39"/>
      <c r="I72" s="39"/>
      <c r="J72" s="39"/>
      <c r="K72" s="39"/>
    </row>
    <row r="73" spans="2:11" x14ac:dyDescent="0.25">
      <c r="B73" s="96"/>
      <c r="C73" s="96"/>
      <c r="E73" s="96"/>
      <c r="F73" s="95"/>
      <c r="G73" s="91"/>
      <c r="H73" s="96"/>
      <c r="I73" s="96"/>
      <c r="K73" s="96"/>
    </row>
    <row r="74" spans="2:11" x14ac:dyDescent="0.25">
      <c r="B74" s="39"/>
      <c r="C74" s="39"/>
      <c r="D74" s="43"/>
      <c r="E74" s="39"/>
      <c r="F74" s="39"/>
      <c r="G74" s="39"/>
      <c r="H74" s="39"/>
      <c r="I74" s="39"/>
      <c r="J74" s="39"/>
      <c r="K74" s="39"/>
    </row>
    <row r="75" spans="2:11" x14ac:dyDescent="0.25">
      <c r="B75" s="96"/>
      <c r="C75" s="96"/>
      <c r="E75" s="96"/>
      <c r="F75" s="95"/>
      <c r="G75" s="91"/>
      <c r="H75" s="96"/>
      <c r="I75" s="96"/>
      <c r="K75" s="96"/>
    </row>
    <row r="76" spans="2:11" x14ac:dyDescent="0.25">
      <c r="B76" s="39"/>
      <c r="C76" s="39"/>
      <c r="D76" s="43"/>
      <c r="E76" s="39"/>
      <c r="F76" s="39"/>
      <c r="G76" s="39"/>
      <c r="H76" s="39"/>
      <c r="I76" s="39"/>
      <c r="J76" s="39"/>
      <c r="K76" s="39"/>
    </row>
    <row r="77" spans="2:11" x14ac:dyDescent="0.25">
      <c r="B77" s="96"/>
      <c r="C77" s="96"/>
      <c r="E77" s="96"/>
      <c r="F77" s="95"/>
      <c r="G77" s="91"/>
      <c r="H77" s="96"/>
      <c r="I77" s="96"/>
      <c r="K77" s="96"/>
    </row>
    <row r="78" spans="2:11" x14ac:dyDescent="0.25">
      <c r="B78" s="39"/>
      <c r="C78" s="39"/>
      <c r="D78" s="43"/>
      <c r="E78" s="39"/>
      <c r="F78" s="39"/>
      <c r="G78" s="39"/>
      <c r="H78" s="39"/>
      <c r="I78" s="39"/>
      <c r="J78" s="39"/>
      <c r="K78" s="39"/>
    </row>
    <row r="79" spans="2:11" x14ac:dyDescent="0.25">
      <c r="B79" s="96"/>
      <c r="C79" s="96"/>
      <c r="E79" s="96"/>
      <c r="F79" s="95"/>
      <c r="G79" s="91"/>
      <c r="H79" s="96"/>
      <c r="I79" s="96"/>
      <c r="K79" s="96"/>
    </row>
    <row r="80" spans="2:11" x14ac:dyDescent="0.25">
      <c r="B80" s="39"/>
      <c r="C80" s="39"/>
      <c r="D80" s="43"/>
      <c r="E80" s="39"/>
      <c r="F80" s="39"/>
      <c r="G80" s="39"/>
      <c r="H80" s="39"/>
      <c r="I80" s="39"/>
      <c r="J80" s="39"/>
      <c r="K80" s="39"/>
    </row>
    <row r="81" spans="2:11" x14ac:dyDescent="0.25">
      <c r="B81" s="96"/>
      <c r="C81" s="96"/>
      <c r="E81" s="96"/>
      <c r="F81" s="95"/>
      <c r="G81" s="91"/>
      <c r="H81" s="96"/>
      <c r="I81" s="96"/>
      <c r="K81" s="96"/>
    </row>
    <row r="82" spans="2:11" x14ac:dyDescent="0.25">
      <c r="B82" s="39"/>
      <c r="C82" s="39"/>
      <c r="D82" s="43"/>
      <c r="E82" s="39"/>
      <c r="F82" s="39"/>
      <c r="G82" s="39"/>
      <c r="H82" s="39"/>
      <c r="I82" s="39"/>
      <c r="J82" s="39"/>
      <c r="K82" s="39"/>
    </row>
    <row r="83" spans="2:11" x14ac:dyDescent="0.25">
      <c r="B83" s="96"/>
      <c r="C83" s="96"/>
      <c r="E83" s="96"/>
      <c r="F83" s="95"/>
      <c r="G83" s="91"/>
      <c r="H83" s="96"/>
      <c r="I83" s="96"/>
      <c r="K83" s="96"/>
    </row>
    <row r="84" spans="2:11" x14ac:dyDescent="0.25">
      <c r="B84" s="39"/>
      <c r="C84" s="39"/>
      <c r="D84" s="43"/>
      <c r="E84" s="39"/>
      <c r="F84" s="39"/>
      <c r="G84" s="39"/>
      <c r="H84" s="39"/>
      <c r="I84" s="39"/>
      <c r="J84" s="39"/>
      <c r="K84" s="39"/>
    </row>
    <row r="85" spans="2:11" x14ac:dyDescent="0.25">
      <c r="B85" s="96"/>
      <c r="C85" s="96"/>
      <c r="E85" s="96"/>
      <c r="F85" s="95"/>
      <c r="G85" s="91"/>
      <c r="H85" s="96"/>
      <c r="I85" s="96"/>
      <c r="K85" s="96"/>
    </row>
    <row r="86" spans="2:11" x14ac:dyDescent="0.25">
      <c r="B86" s="39"/>
      <c r="C86" s="39"/>
      <c r="D86" s="43"/>
      <c r="E86" s="39"/>
      <c r="F86" s="39"/>
      <c r="G86" s="39"/>
      <c r="H86" s="39"/>
      <c r="I86" s="39"/>
      <c r="J86" s="39"/>
      <c r="K86" s="39"/>
    </row>
    <row r="87" spans="2:11" x14ac:dyDescent="0.25">
      <c r="B87" s="96"/>
      <c r="C87" s="96"/>
      <c r="E87" s="96"/>
      <c r="F87" s="95"/>
      <c r="G87" s="91"/>
      <c r="H87" s="96"/>
      <c r="I87" s="96"/>
      <c r="K87" s="96"/>
    </row>
    <row r="88" spans="2:11" x14ac:dyDescent="0.25">
      <c r="B88" s="39"/>
      <c r="C88" s="39"/>
      <c r="D88" s="43"/>
      <c r="E88" s="39"/>
      <c r="F88" s="39"/>
      <c r="G88" s="39"/>
      <c r="H88" s="39"/>
      <c r="I88" s="39"/>
      <c r="J88" s="39"/>
      <c r="K88" s="39"/>
    </row>
    <row r="89" spans="2:11" x14ac:dyDescent="0.25">
      <c r="B89" s="96"/>
      <c r="C89" s="96"/>
      <c r="E89" s="96"/>
      <c r="F89" s="95"/>
      <c r="G89" s="91"/>
      <c r="H89" s="96"/>
      <c r="I89" s="96"/>
      <c r="K89" s="96"/>
    </row>
    <row r="90" spans="2:11" x14ac:dyDescent="0.25">
      <c r="B90" s="39"/>
      <c r="C90" s="39"/>
      <c r="D90" s="43"/>
      <c r="E90" s="39"/>
      <c r="F90" s="39"/>
      <c r="G90" s="39"/>
      <c r="H90" s="39"/>
      <c r="I90" s="39"/>
      <c r="J90" s="39"/>
      <c r="K90" s="39"/>
    </row>
    <row r="91" spans="2:11" x14ac:dyDescent="0.25">
      <c r="B91" s="96"/>
      <c r="C91" s="96"/>
      <c r="E91" s="96"/>
      <c r="F91" s="95"/>
      <c r="G91" s="91"/>
      <c r="H91" s="96"/>
      <c r="I91" s="96"/>
      <c r="K91" s="96"/>
    </row>
    <row r="92" spans="2:11" x14ac:dyDescent="0.25">
      <c r="B92" s="39"/>
      <c r="C92" s="39"/>
      <c r="D92" s="43"/>
      <c r="E92" s="39"/>
      <c r="F92" s="39"/>
      <c r="G92" s="39"/>
      <c r="H92" s="39"/>
      <c r="I92" s="39"/>
      <c r="J92" s="39"/>
      <c r="K92" s="39"/>
    </row>
    <row r="93" spans="2:11" x14ac:dyDescent="0.25">
      <c r="B93" s="96"/>
      <c r="C93" s="96"/>
      <c r="E93" s="96"/>
      <c r="F93" s="95"/>
      <c r="G93" s="91"/>
      <c r="H93" s="96"/>
      <c r="I93" s="96"/>
      <c r="K93" s="96"/>
    </row>
    <row r="94" spans="2:11" x14ac:dyDescent="0.25">
      <c r="B94" s="39"/>
      <c r="C94" s="39"/>
      <c r="D94" s="43"/>
      <c r="E94" s="39"/>
      <c r="F94" s="39"/>
      <c r="G94" s="39"/>
      <c r="H94" s="39"/>
      <c r="I94" s="39"/>
      <c r="J94" s="39"/>
      <c r="K94" s="39"/>
    </row>
    <row r="95" spans="2:11" x14ac:dyDescent="0.25">
      <c r="B95" s="96"/>
      <c r="C95" s="96"/>
      <c r="E95" s="96"/>
      <c r="F95" s="95"/>
      <c r="G95" s="91"/>
      <c r="H95" s="96"/>
      <c r="I95" s="96"/>
      <c r="K95" s="96"/>
    </row>
    <row r="96" spans="2:11" x14ac:dyDescent="0.25">
      <c r="B96" s="39"/>
      <c r="C96" s="39"/>
      <c r="D96" s="43"/>
      <c r="E96" s="39"/>
      <c r="F96" s="39"/>
      <c r="G96" s="39"/>
      <c r="H96" s="39"/>
      <c r="I96" s="39"/>
      <c r="J96" s="39"/>
      <c r="K96" s="39"/>
    </row>
    <row r="97" spans="2:11" x14ac:dyDescent="0.25">
      <c r="B97" s="96"/>
      <c r="C97" s="96"/>
      <c r="E97" s="96"/>
      <c r="F97" s="95"/>
      <c r="G97" s="91"/>
      <c r="H97" s="96"/>
      <c r="I97" s="96"/>
      <c r="K97" s="96"/>
    </row>
    <row r="98" spans="2:11" x14ac:dyDescent="0.25">
      <c r="B98" s="39"/>
      <c r="C98" s="39"/>
      <c r="D98" s="43"/>
      <c r="E98" s="39"/>
      <c r="F98" s="39"/>
      <c r="G98" s="39"/>
      <c r="H98" s="39"/>
      <c r="I98" s="39"/>
      <c r="J98" s="39"/>
      <c r="K98" s="39"/>
    </row>
    <row r="99" spans="2:11" x14ac:dyDescent="0.25">
      <c r="B99" s="96"/>
      <c r="C99" s="96"/>
      <c r="E99" s="96"/>
      <c r="F99" s="95"/>
      <c r="G99" s="91"/>
      <c r="H99" s="96"/>
      <c r="I99" s="96"/>
      <c r="K99" s="96"/>
    </row>
    <row r="100" spans="2:11" x14ac:dyDescent="0.25">
      <c r="B100" s="39"/>
      <c r="C100" s="39"/>
      <c r="D100" s="43"/>
      <c r="E100" s="39"/>
      <c r="F100" s="39"/>
      <c r="G100" s="39"/>
      <c r="H100" s="39"/>
      <c r="I100" s="39"/>
      <c r="J100" s="39"/>
      <c r="K100" s="39"/>
    </row>
    <row r="101" spans="2:11" x14ac:dyDescent="0.25">
      <c r="B101" s="96"/>
      <c r="C101" s="96"/>
      <c r="E101" s="96"/>
      <c r="F101" s="95"/>
      <c r="G101" s="91"/>
      <c r="H101" s="96"/>
      <c r="I101" s="96"/>
      <c r="K101" s="96"/>
    </row>
  </sheetData>
  <mergeCells count="47">
    <mergeCell ref="M3:Q4"/>
    <mergeCell ref="O5:O6"/>
    <mergeCell ref="P5:P6"/>
    <mergeCell ref="Q5:Q6"/>
    <mergeCell ref="M5:N6"/>
    <mergeCell ref="M12:N12"/>
    <mergeCell ref="M13:N13"/>
    <mergeCell ref="M14:N14"/>
    <mergeCell ref="M15:N15"/>
    <mergeCell ref="M7:N7"/>
    <mergeCell ref="M8:N8"/>
    <mergeCell ref="M9:N9"/>
    <mergeCell ref="M10:N10"/>
    <mergeCell ref="M11:N11"/>
    <mergeCell ref="K5:K6"/>
    <mergeCell ref="E5:E6"/>
    <mergeCell ref="B3:K4"/>
    <mergeCell ref="B5:B6"/>
    <mergeCell ref="C5:C6"/>
    <mergeCell ref="D5:D6"/>
    <mergeCell ref="F5:F6"/>
    <mergeCell ref="G5:G6"/>
    <mergeCell ref="H5:H6"/>
    <mergeCell ref="I5:I6"/>
    <mergeCell ref="J5:J6"/>
    <mergeCell ref="E28:E31"/>
    <mergeCell ref="I17:J17"/>
    <mergeCell ref="I22:J22"/>
    <mergeCell ref="Q23:Q25"/>
    <mergeCell ref="I24:J24"/>
    <mergeCell ref="I26:J26"/>
    <mergeCell ref="E17:E19"/>
    <mergeCell ref="I18:J18"/>
    <mergeCell ref="I19:J19"/>
    <mergeCell ref="E32:E37"/>
    <mergeCell ref="I32:J32"/>
    <mergeCell ref="I33:J33"/>
    <mergeCell ref="I34:J34"/>
    <mergeCell ref="I35:J35"/>
    <mergeCell ref="I36:J36"/>
    <mergeCell ref="I37:J37"/>
    <mergeCell ref="B7:B16"/>
    <mergeCell ref="B17:B21"/>
    <mergeCell ref="B22:B27"/>
    <mergeCell ref="B32:B38"/>
    <mergeCell ref="B39:B44"/>
    <mergeCell ref="B28:B3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B8DD-3603-46C4-A2E4-F0988D2FD118}">
  <dimension ref="A1:M51"/>
  <sheetViews>
    <sheetView zoomScale="115" zoomScaleNormal="115" workbookViewId="0">
      <selection activeCell="G14" sqref="G14"/>
    </sheetView>
  </sheetViews>
  <sheetFormatPr baseColWidth="10" defaultRowHeight="15" x14ac:dyDescent="0.25"/>
  <cols>
    <col min="2" max="2" width="44.28515625" bestFit="1" customWidth="1"/>
    <col min="7" max="7" width="107.28515625" bestFit="1" customWidth="1"/>
    <col min="10" max="10" width="24.140625" bestFit="1" customWidth="1"/>
    <col min="13" max="13" width="21.7109375" customWidth="1"/>
  </cols>
  <sheetData>
    <row r="1" spans="1:13" ht="23.25" x14ac:dyDescent="0.35">
      <c r="A1" s="200" t="s">
        <v>807</v>
      </c>
      <c r="B1" s="200"/>
      <c r="C1" s="200"/>
      <c r="D1" s="200"/>
      <c r="E1" s="200"/>
      <c r="F1" s="200"/>
      <c r="G1" s="200"/>
      <c r="H1" s="200"/>
      <c r="I1" s="1"/>
      <c r="J1" s="1"/>
      <c r="K1" s="1"/>
      <c r="L1" s="1"/>
      <c r="M1" s="1"/>
    </row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16" t="s">
        <v>808</v>
      </c>
      <c r="L2" s="116" t="s">
        <v>612</v>
      </c>
      <c r="M2" s="1"/>
    </row>
    <row r="3" spans="1:13" x14ac:dyDescent="0.25">
      <c r="A3" s="1"/>
      <c r="B3" s="197" t="s">
        <v>809</v>
      </c>
      <c r="C3" s="197"/>
      <c r="D3" s="197"/>
      <c r="E3" s="197"/>
      <c r="F3" s="197"/>
      <c r="G3" s="197"/>
      <c r="H3" s="1"/>
      <c r="I3" s="1"/>
      <c r="J3" s="201" t="s">
        <v>810</v>
      </c>
      <c r="K3" s="1">
        <v>0</v>
      </c>
      <c r="L3" s="1">
        <v>100</v>
      </c>
      <c r="M3" s="199" t="s">
        <v>904</v>
      </c>
    </row>
    <row r="4" spans="1:13" x14ac:dyDescent="0.25">
      <c r="A4" s="1"/>
      <c r="B4" s="117" t="s">
        <v>806</v>
      </c>
      <c r="C4" s="117" t="s">
        <v>608</v>
      </c>
      <c r="D4" s="117" t="s">
        <v>811</v>
      </c>
      <c r="E4" s="117" t="s">
        <v>610</v>
      </c>
      <c r="F4" s="117" t="s">
        <v>614</v>
      </c>
      <c r="G4" s="117" t="s">
        <v>607</v>
      </c>
      <c r="H4" s="1"/>
      <c r="I4" s="1"/>
      <c r="J4" s="201"/>
      <c r="K4" s="118" t="s">
        <v>812</v>
      </c>
      <c r="L4" s="118" t="s">
        <v>813</v>
      </c>
      <c r="M4" s="199"/>
    </row>
    <row r="5" spans="1:13" ht="60" x14ac:dyDescent="0.25">
      <c r="A5" s="1"/>
      <c r="B5" s="119" t="s">
        <v>814</v>
      </c>
      <c r="C5" s="119">
        <v>0</v>
      </c>
      <c r="D5" s="119">
        <v>1</v>
      </c>
      <c r="E5" s="2" t="s">
        <v>72</v>
      </c>
      <c r="F5" s="2" t="s">
        <v>72</v>
      </c>
      <c r="G5" s="120" t="s">
        <v>815</v>
      </c>
      <c r="H5" s="1"/>
      <c r="I5" s="1"/>
      <c r="J5" s="201" t="s">
        <v>816</v>
      </c>
      <c r="K5" s="1">
        <v>101</v>
      </c>
      <c r="L5" s="1">
        <v>128</v>
      </c>
      <c r="M5" s="199"/>
    </row>
    <row r="6" spans="1:13" ht="90" x14ac:dyDescent="0.25">
      <c r="A6" s="1"/>
      <c r="B6" s="119" t="s">
        <v>817</v>
      </c>
      <c r="C6" s="119">
        <v>1</v>
      </c>
      <c r="D6" s="119">
        <v>3</v>
      </c>
      <c r="E6" s="2" t="s">
        <v>72</v>
      </c>
      <c r="F6" s="2" t="s">
        <v>72</v>
      </c>
      <c r="G6" s="121" t="s">
        <v>818</v>
      </c>
      <c r="H6" s="1"/>
      <c r="I6" s="1"/>
      <c r="J6" s="201"/>
      <c r="K6" s="118" t="s">
        <v>819</v>
      </c>
      <c r="L6" s="118" t="s">
        <v>820</v>
      </c>
      <c r="M6" s="199"/>
    </row>
    <row r="7" spans="1:13" ht="90" x14ac:dyDescent="0.25">
      <c r="A7" s="1"/>
      <c r="B7" s="119" t="s">
        <v>821</v>
      </c>
      <c r="C7" s="119">
        <v>4</v>
      </c>
      <c r="D7" s="119">
        <v>3</v>
      </c>
      <c r="E7" s="122" t="s">
        <v>72</v>
      </c>
      <c r="F7" s="2" t="s">
        <v>72</v>
      </c>
      <c r="G7" s="120" t="s">
        <v>822</v>
      </c>
      <c r="H7" s="1"/>
      <c r="I7" s="1"/>
      <c r="J7" s="126"/>
      <c r="K7" s="1"/>
      <c r="L7" s="1"/>
      <c r="M7" s="1"/>
    </row>
    <row r="8" spans="1:13" ht="30" x14ac:dyDescent="0.25">
      <c r="A8" s="1"/>
      <c r="B8" s="123" t="s">
        <v>823</v>
      </c>
      <c r="C8" s="119">
        <v>16</v>
      </c>
      <c r="D8" s="119">
        <v>16</v>
      </c>
      <c r="E8" s="119" t="s">
        <v>760</v>
      </c>
      <c r="F8" s="119" t="s">
        <v>824</v>
      </c>
      <c r="G8" s="120" t="s">
        <v>825</v>
      </c>
      <c r="H8" s="1"/>
      <c r="I8" s="1"/>
      <c r="J8" s="1"/>
      <c r="K8" s="129"/>
      <c r="L8" s="1"/>
      <c r="M8" s="1"/>
    </row>
    <row r="9" spans="1:13" x14ac:dyDescent="0.25">
      <c r="A9" s="1"/>
      <c r="B9" s="119" t="s">
        <v>826</v>
      </c>
      <c r="C9" s="119">
        <v>32</v>
      </c>
      <c r="D9" s="119">
        <v>32</v>
      </c>
      <c r="E9" s="119" t="s">
        <v>665</v>
      </c>
      <c r="F9" s="119" t="s">
        <v>824</v>
      </c>
      <c r="G9" s="120" t="s">
        <v>827</v>
      </c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97" t="s">
        <v>828</v>
      </c>
      <c r="C11" s="197"/>
      <c r="D11" s="197"/>
      <c r="E11" s="197"/>
      <c r="F11" s="197"/>
      <c r="G11" s="197"/>
      <c r="H11" s="1"/>
      <c r="I11" s="1"/>
      <c r="J11" s="1"/>
      <c r="K11" s="1"/>
      <c r="L11" s="1"/>
      <c r="M11" s="1"/>
    </row>
    <row r="12" spans="1:13" x14ac:dyDescent="0.25">
      <c r="A12" s="1"/>
      <c r="B12" s="117" t="s">
        <v>806</v>
      </c>
      <c r="C12" s="117" t="s">
        <v>608</v>
      </c>
      <c r="D12" s="117" t="s">
        <v>811</v>
      </c>
      <c r="E12" s="117" t="s">
        <v>610</v>
      </c>
      <c r="F12" s="117" t="s">
        <v>614</v>
      </c>
      <c r="G12" s="117" t="s">
        <v>607</v>
      </c>
      <c r="H12" s="1"/>
      <c r="I12" s="1"/>
      <c r="J12" s="1"/>
      <c r="K12" s="1"/>
      <c r="L12" s="1"/>
      <c r="M12" s="1"/>
    </row>
    <row r="13" spans="1:13" ht="180" x14ac:dyDescent="0.25">
      <c r="A13" s="1"/>
      <c r="B13" s="119" t="s">
        <v>829</v>
      </c>
      <c r="C13" s="119">
        <v>0</v>
      </c>
      <c r="D13" s="119">
        <v>8</v>
      </c>
      <c r="E13" s="2" t="s">
        <v>72</v>
      </c>
      <c r="F13" s="2" t="s">
        <v>72</v>
      </c>
      <c r="G13" s="124" t="s">
        <v>942</v>
      </c>
      <c r="H13" s="98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97" t="s">
        <v>830</v>
      </c>
      <c r="C16" s="198"/>
      <c r="D16" s="198"/>
      <c r="E16" s="198"/>
      <c r="F16" s="198"/>
      <c r="G16" s="198"/>
      <c r="H16" s="1"/>
      <c r="I16" s="1"/>
      <c r="J16" s="1"/>
      <c r="K16" s="1"/>
      <c r="L16" s="1"/>
      <c r="M16" s="1"/>
    </row>
    <row r="17" spans="1:13" x14ac:dyDescent="0.25">
      <c r="A17" s="1"/>
      <c r="B17" s="117" t="s">
        <v>806</v>
      </c>
      <c r="C17" s="117" t="s">
        <v>608</v>
      </c>
      <c r="D17" s="117" t="s">
        <v>811</v>
      </c>
      <c r="E17" s="117" t="s">
        <v>610</v>
      </c>
      <c r="F17" s="117" t="s">
        <v>614</v>
      </c>
      <c r="G17" s="117" t="s">
        <v>607</v>
      </c>
      <c r="H17" s="1"/>
      <c r="I17" s="1"/>
      <c r="J17" s="1"/>
      <c r="K17" s="1"/>
      <c r="L17" s="1"/>
      <c r="M17" s="1"/>
    </row>
    <row r="18" spans="1:13" x14ac:dyDescent="0.25">
      <c r="A18" s="1"/>
      <c r="B18" s="1" t="s">
        <v>831</v>
      </c>
      <c r="C18" s="1">
        <v>0</v>
      </c>
      <c r="D18" s="1">
        <v>16</v>
      </c>
      <c r="E18" s="1" t="s">
        <v>616</v>
      </c>
      <c r="F18" s="1" t="s">
        <v>824</v>
      </c>
      <c r="G18" s="1" t="s">
        <v>832</v>
      </c>
      <c r="H18" s="1"/>
      <c r="I18" s="1"/>
      <c r="J18" s="1"/>
      <c r="K18" s="1"/>
      <c r="L18" s="1"/>
      <c r="M18" s="1"/>
    </row>
    <row r="19" spans="1:13" x14ac:dyDescent="0.25">
      <c r="A19" s="1"/>
      <c r="B19" s="1" t="s">
        <v>833</v>
      </c>
      <c r="C19" s="1">
        <v>16</v>
      </c>
      <c r="D19" s="1">
        <v>32</v>
      </c>
      <c r="E19" s="1" t="s">
        <v>616</v>
      </c>
      <c r="F19" s="1" t="s">
        <v>824</v>
      </c>
      <c r="G19" s="1" t="s">
        <v>834</v>
      </c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97" t="s">
        <v>835</v>
      </c>
      <c r="C22" s="198"/>
      <c r="D22" s="198"/>
      <c r="E22" s="198"/>
      <c r="F22" s="198"/>
      <c r="G22" s="198"/>
      <c r="H22" s="1"/>
      <c r="I22" s="1"/>
      <c r="J22" s="1"/>
      <c r="K22" s="1"/>
      <c r="L22" s="1"/>
      <c r="M22" s="1"/>
    </row>
    <row r="23" spans="1:13" x14ac:dyDescent="0.25">
      <c r="A23" s="1"/>
      <c r="B23" s="117" t="s">
        <v>806</v>
      </c>
      <c r="C23" s="117" t="s">
        <v>608</v>
      </c>
      <c r="D23" s="117" t="s">
        <v>811</v>
      </c>
      <c r="E23" s="117" t="s">
        <v>610</v>
      </c>
      <c r="F23" s="117" t="s">
        <v>614</v>
      </c>
      <c r="G23" s="117" t="s">
        <v>607</v>
      </c>
      <c r="H23" s="1"/>
      <c r="I23" s="1"/>
      <c r="J23" s="1"/>
      <c r="K23" s="1"/>
      <c r="L23" s="1"/>
      <c r="M23" s="1"/>
    </row>
    <row r="24" spans="1:13" x14ac:dyDescent="0.25">
      <c r="A24" s="1"/>
      <c r="B24" s="1" t="s">
        <v>836</v>
      </c>
      <c r="C24" s="1">
        <v>0</v>
      </c>
      <c r="D24" s="1">
        <v>16</v>
      </c>
      <c r="E24" s="1" t="s">
        <v>616</v>
      </c>
      <c r="F24" s="1" t="s">
        <v>824</v>
      </c>
      <c r="G24" s="1" t="s">
        <v>837</v>
      </c>
      <c r="H24" s="1"/>
      <c r="I24" s="1"/>
      <c r="J24" s="1"/>
      <c r="K24" s="1"/>
      <c r="L24" s="1"/>
      <c r="M24" s="1"/>
    </row>
    <row r="25" spans="1:13" x14ac:dyDescent="0.25">
      <c r="A25" s="1"/>
      <c r="B25" s="1" t="s">
        <v>838</v>
      </c>
      <c r="C25" s="1">
        <v>16</v>
      </c>
      <c r="D25" s="1">
        <v>32</v>
      </c>
      <c r="E25" s="1" t="s">
        <v>616</v>
      </c>
      <c r="F25" s="1" t="s">
        <v>824</v>
      </c>
      <c r="G25" s="1" t="s">
        <v>839</v>
      </c>
      <c r="H25" s="125"/>
      <c r="I25" s="119"/>
      <c r="J25" s="120"/>
      <c r="K25" s="119"/>
      <c r="L25" s="119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25"/>
      <c r="I26" s="119"/>
      <c r="J26" s="120"/>
      <c r="K26" s="119"/>
      <c r="L26" s="119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25"/>
      <c r="I27" s="119"/>
      <c r="J27" s="120"/>
      <c r="K27" s="119"/>
      <c r="L27" s="119"/>
      <c r="M27" s="1"/>
    </row>
    <row r="28" spans="1:13" x14ac:dyDescent="0.25">
      <c r="A28" s="1"/>
      <c r="B28" s="197" t="s">
        <v>840</v>
      </c>
      <c r="C28" s="198"/>
      <c r="D28" s="198"/>
      <c r="E28" s="198"/>
      <c r="F28" s="198"/>
      <c r="G28" s="198"/>
      <c r="H28" s="125"/>
      <c r="I28" s="119"/>
      <c r="J28" s="120"/>
      <c r="K28" s="119"/>
      <c r="L28" s="119"/>
      <c r="M28" s="1"/>
    </row>
    <row r="29" spans="1:13" x14ac:dyDescent="0.25">
      <c r="A29" s="1"/>
      <c r="B29" s="117" t="s">
        <v>806</v>
      </c>
      <c r="C29" s="117" t="s">
        <v>608</v>
      </c>
      <c r="D29" s="117" t="s">
        <v>811</v>
      </c>
      <c r="E29" s="117" t="s">
        <v>610</v>
      </c>
      <c r="F29" s="117" t="s">
        <v>614</v>
      </c>
      <c r="G29" s="117" t="s">
        <v>607</v>
      </c>
      <c r="H29" s="125"/>
      <c r="I29" s="119"/>
      <c r="J29" s="120"/>
      <c r="K29" s="119"/>
      <c r="L29" s="119"/>
      <c r="M29" s="1"/>
    </row>
    <row r="30" spans="1:13" x14ac:dyDescent="0.25">
      <c r="A30" s="1"/>
      <c r="B30" s="1" t="s">
        <v>841</v>
      </c>
      <c r="C30" s="1">
        <v>0</v>
      </c>
      <c r="D30" s="1">
        <v>16</v>
      </c>
      <c r="E30" s="1" t="s">
        <v>616</v>
      </c>
      <c r="F30" s="1" t="s">
        <v>824</v>
      </c>
      <c r="G30" s="1" t="s">
        <v>842</v>
      </c>
      <c r="H30" s="125"/>
      <c r="I30" s="119"/>
      <c r="J30" s="120"/>
      <c r="K30" s="119"/>
      <c r="L30" s="119"/>
      <c r="M30" s="1"/>
    </row>
    <row r="31" spans="1:13" x14ac:dyDescent="0.25">
      <c r="A31" s="1"/>
      <c r="B31" s="1" t="s">
        <v>843</v>
      </c>
      <c r="C31" s="1">
        <v>16</v>
      </c>
      <c r="D31" s="1">
        <v>32</v>
      </c>
      <c r="E31" s="1" t="s">
        <v>616</v>
      </c>
      <c r="F31" s="1" t="s">
        <v>824</v>
      </c>
      <c r="G31" s="1" t="s">
        <v>844</v>
      </c>
      <c r="H31" s="125"/>
      <c r="I31" s="119"/>
      <c r="J31" s="120"/>
      <c r="K31" s="119"/>
      <c r="L31" s="119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97" t="s">
        <v>905</v>
      </c>
      <c r="C33" s="198"/>
      <c r="D33" s="198"/>
      <c r="E33" s="198"/>
      <c r="F33" s="198"/>
      <c r="G33" s="198"/>
      <c r="H33" s="1"/>
      <c r="I33" s="1"/>
      <c r="J33" s="1"/>
      <c r="K33" s="1"/>
      <c r="L33" s="1"/>
      <c r="M33" s="1"/>
    </row>
    <row r="34" spans="1:13" x14ac:dyDescent="0.25">
      <c r="A34" s="1"/>
      <c r="B34" s="117" t="s">
        <v>806</v>
      </c>
      <c r="C34" s="117" t="s">
        <v>608</v>
      </c>
      <c r="D34" s="117" t="s">
        <v>811</v>
      </c>
      <c r="E34" s="117" t="s">
        <v>610</v>
      </c>
      <c r="F34" s="117" t="s">
        <v>614</v>
      </c>
      <c r="G34" s="117" t="s">
        <v>607</v>
      </c>
      <c r="H34" s="1"/>
      <c r="I34" s="1"/>
      <c r="J34" s="1"/>
      <c r="K34" s="1"/>
      <c r="L34" s="1"/>
      <c r="M34" s="1"/>
    </row>
    <row r="35" spans="1:13" x14ac:dyDescent="0.25">
      <c r="A35" s="1"/>
      <c r="B35" s="1" t="s">
        <v>845</v>
      </c>
      <c r="C35" s="1">
        <v>0</v>
      </c>
      <c r="D35" s="1">
        <v>16</v>
      </c>
      <c r="E35" s="1" t="s">
        <v>616</v>
      </c>
      <c r="F35" s="1" t="s">
        <v>824</v>
      </c>
      <c r="G35" s="1" t="s">
        <v>846</v>
      </c>
      <c r="H35" s="1"/>
      <c r="I35" s="1"/>
      <c r="J35" s="1"/>
      <c r="K35" s="1"/>
      <c r="L35" s="1"/>
      <c r="M35" s="1"/>
    </row>
    <row r="36" spans="1:13" x14ac:dyDescent="0.25">
      <c r="A36" s="1"/>
      <c r="B36" s="1" t="s">
        <v>847</v>
      </c>
      <c r="C36" s="1">
        <v>16</v>
      </c>
      <c r="D36" s="1">
        <v>32</v>
      </c>
      <c r="E36" s="1" t="s">
        <v>616</v>
      </c>
      <c r="F36" s="1" t="s">
        <v>824</v>
      </c>
      <c r="G36" s="1" t="s">
        <v>848</v>
      </c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97" t="s">
        <v>906</v>
      </c>
      <c r="C38" s="198"/>
      <c r="D38" s="198"/>
      <c r="E38" s="198"/>
      <c r="F38" s="198"/>
      <c r="G38" s="198"/>
      <c r="H38" s="1"/>
      <c r="I38" s="1"/>
      <c r="J38" s="1"/>
      <c r="K38" s="1"/>
      <c r="L38" s="1"/>
      <c r="M38" s="1"/>
    </row>
    <row r="39" spans="1:13" x14ac:dyDescent="0.25">
      <c r="A39" s="1"/>
      <c r="B39" s="117" t="s">
        <v>806</v>
      </c>
      <c r="C39" s="117" t="s">
        <v>608</v>
      </c>
      <c r="D39" s="117" t="s">
        <v>811</v>
      </c>
      <c r="E39" s="117" t="s">
        <v>610</v>
      </c>
      <c r="F39" s="117" t="s">
        <v>614</v>
      </c>
      <c r="G39" s="117" t="s">
        <v>607</v>
      </c>
      <c r="H39" s="1"/>
      <c r="I39" s="1"/>
      <c r="J39" s="1"/>
      <c r="K39" s="1"/>
      <c r="L39" s="1"/>
      <c r="M39" s="1"/>
    </row>
    <row r="40" spans="1:13" x14ac:dyDescent="0.25">
      <c r="A40" s="1"/>
      <c r="B40" s="1" t="s">
        <v>849</v>
      </c>
      <c r="C40" s="1">
        <v>0</v>
      </c>
      <c r="D40" s="1">
        <v>16</v>
      </c>
      <c r="E40" s="1" t="s">
        <v>850</v>
      </c>
      <c r="F40" s="1" t="s">
        <v>824</v>
      </c>
      <c r="G40" s="1" t="s">
        <v>851</v>
      </c>
      <c r="H40" s="1"/>
      <c r="I40" s="1"/>
      <c r="J40" s="1"/>
      <c r="K40" s="1"/>
      <c r="L40" s="1"/>
      <c r="M40" s="1"/>
    </row>
    <row r="41" spans="1:13" x14ac:dyDescent="0.25">
      <c r="A41" s="1"/>
      <c r="B41" s="1" t="s">
        <v>852</v>
      </c>
      <c r="C41" s="1">
        <v>16</v>
      </c>
      <c r="D41" s="1">
        <v>32</v>
      </c>
      <c r="E41" s="1" t="s">
        <v>850</v>
      </c>
      <c r="F41" s="1" t="s">
        <v>824</v>
      </c>
      <c r="G41" s="1" t="s">
        <v>853</v>
      </c>
      <c r="H41" s="1"/>
      <c r="I41" s="1"/>
      <c r="J41" s="1"/>
      <c r="K41" s="1"/>
      <c r="L41" s="125"/>
      <c r="M41" s="125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25"/>
      <c r="M42" s="125"/>
    </row>
    <row r="43" spans="1:13" x14ac:dyDescent="0.25">
      <c r="A43" s="1"/>
      <c r="B43" s="197" t="s">
        <v>907</v>
      </c>
      <c r="C43" s="198"/>
      <c r="D43" s="198"/>
      <c r="E43" s="198"/>
      <c r="F43" s="198"/>
      <c r="G43" s="198"/>
      <c r="H43" s="1"/>
      <c r="I43" s="1"/>
      <c r="J43" s="1"/>
      <c r="K43" s="1"/>
      <c r="L43" s="125"/>
      <c r="M43" s="125"/>
    </row>
    <row r="44" spans="1:13" x14ac:dyDescent="0.25">
      <c r="A44" s="1"/>
      <c r="B44" s="117" t="s">
        <v>806</v>
      </c>
      <c r="C44" s="117" t="s">
        <v>608</v>
      </c>
      <c r="D44" s="117" t="s">
        <v>811</v>
      </c>
      <c r="E44" s="117" t="s">
        <v>610</v>
      </c>
      <c r="F44" s="117" t="s">
        <v>614</v>
      </c>
      <c r="G44" s="117" t="s">
        <v>607</v>
      </c>
      <c r="H44" s="1"/>
      <c r="I44" s="1"/>
      <c r="J44" s="1"/>
      <c r="K44" s="1"/>
      <c r="L44" s="125"/>
      <c r="M44" s="125"/>
    </row>
    <row r="45" spans="1:13" x14ac:dyDescent="0.25">
      <c r="A45" s="1"/>
      <c r="B45" s="119" t="s">
        <v>854</v>
      </c>
      <c r="C45" s="119">
        <v>0</v>
      </c>
      <c r="D45" s="119">
        <v>1</v>
      </c>
      <c r="E45" s="1"/>
      <c r="F45" s="1"/>
      <c r="G45" s="1" t="s">
        <v>855</v>
      </c>
      <c r="H45" s="1"/>
      <c r="I45" s="1"/>
      <c r="J45" s="1"/>
      <c r="K45" s="1"/>
      <c r="L45" s="125"/>
      <c r="M45" s="125"/>
    </row>
    <row r="46" spans="1:13" x14ac:dyDescent="0.25">
      <c r="A46" s="1"/>
      <c r="B46" s="119" t="s">
        <v>856</v>
      </c>
      <c r="C46" s="119">
        <v>1</v>
      </c>
      <c r="D46" s="119">
        <v>15</v>
      </c>
      <c r="E46" s="1" t="s">
        <v>857</v>
      </c>
      <c r="F46" s="1" t="s">
        <v>858</v>
      </c>
      <c r="G46" s="1" t="s">
        <v>859</v>
      </c>
      <c r="H46" s="1"/>
      <c r="I46" s="1"/>
      <c r="J46" s="1"/>
      <c r="K46" s="1"/>
      <c r="L46" s="125"/>
      <c r="M46" s="125"/>
    </row>
    <row r="47" spans="1:13" x14ac:dyDescent="0.25">
      <c r="A47" s="1"/>
      <c r="B47" s="119" t="s">
        <v>860</v>
      </c>
      <c r="C47" s="119">
        <v>16</v>
      </c>
      <c r="D47" s="119">
        <v>1</v>
      </c>
      <c r="E47" s="1"/>
      <c r="F47" s="1"/>
      <c r="G47" s="1" t="s">
        <v>861</v>
      </c>
      <c r="H47" s="1"/>
      <c r="I47" s="1"/>
      <c r="J47" s="1"/>
      <c r="K47" s="1"/>
      <c r="L47" s="125"/>
      <c r="M47" s="125"/>
    </row>
    <row r="48" spans="1:13" x14ac:dyDescent="0.25">
      <c r="A48" s="1"/>
      <c r="B48" s="119" t="s">
        <v>862</v>
      </c>
      <c r="C48" s="119">
        <v>17</v>
      </c>
      <c r="D48" s="119">
        <v>15</v>
      </c>
      <c r="E48" s="1" t="s">
        <v>857</v>
      </c>
      <c r="F48" s="1" t="s">
        <v>858</v>
      </c>
      <c r="G48" s="120" t="s">
        <v>863</v>
      </c>
      <c r="H48" s="1"/>
      <c r="I48" s="1"/>
      <c r="J48" s="1"/>
      <c r="K48" s="1"/>
      <c r="L48" s="125"/>
      <c r="M48" s="125"/>
    </row>
    <row r="49" spans="1:13" x14ac:dyDescent="0.25">
      <c r="A49" s="1"/>
      <c r="B49" s="119" t="s">
        <v>864</v>
      </c>
      <c r="C49" s="119">
        <v>32</v>
      </c>
      <c r="D49" s="119">
        <v>1</v>
      </c>
      <c r="E49" s="1"/>
      <c r="F49" s="1"/>
      <c r="G49" s="1" t="s">
        <v>865</v>
      </c>
      <c r="H49" s="1"/>
      <c r="I49" s="1"/>
      <c r="J49" s="1"/>
      <c r="K49" s="1"/>
      <c r="L49" s="125"/>
      <c r="M49" s="125"/>
    </row>
    <row r="50" spans="1:13" x14ac:dyDescent="0.25">
      <c r="A50" s="1"/>
      <c r="B50" s="119" t="s">
        <v>866</v>
      </c>
      <c r="C50" s="119">
        <v>33</v>
      </c>
      <c r="D50" s="119">
        <v>15</v>
      </c>
      <c r="E50" s="1" t="s">
        <v>857</v>
      </c>
      <c r="F50" s="1" t="s">
        <v>858</v>
      </c>
      <c r="G50" s="121" t="s">
        <v>867</v>
      </c>
      <c r="H50" s="1"/>
      <c r="I50" s="1"/>
      <c r="J50" s="1"/>
      <c r="K50" s="1"/>
      <c r="L50" s="125"/>
      <c r="M50" s="125"/>
    </row>
    <row r="51" spans="1:13" x14ac:dyDescent="0.25">
      <c r="A51" s="1"/>
      <c r="B51" s="119"/>
      <c r="C51" s="119"/>
      <c r="D51" s="119"/>
      <c r="E51" s="1"/>
      <c r="F51" s="1"/>
      <c r="G51" s="1"/>
      <c r="H51" s="1"/>
      <c r="I51" s="1"/>
      <c r="J51" s="1"/>
      <c r="K51" s="1"/>
      <c r="L51" s="125"/>
      <c r="M51" s="125"/>
    </row>
  </sheetData>
  <mergeCells count="12">
    <mergeCell ref="B11:G11"/>
    <mergeCell ref="B16:G16"/>
    <mergeCell ref="M3:M6"/>
    <mergeCell ref="A1:H1"/>
    <mergeCell ref="B3:G3"/>
    <mergeCell ref="J3:J4"/>
    <mergeCell ref="J5:J6"/>
    <mergeCell ref="B22:G22"/>
    <mergeCell ref="B28:G28"/>
    <mergeCell ref="B33:G33"/>
    <mergeCell ref="B38:G38"/>
    <mergeCell ref="B43:G43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6D73-07EA-41F8-852E-2356876B8953}">
  <dimension ref="A1:M36"/>
  <sheetViews>
    <sheetView topLeftCell="A7" workbookViewId="0">
      <selection activeCell="F12" sqref="F12"/>
    </sheetView>
  </sheetViews>
  <sheetFormatPr baseColWidth="10" defaultRowHeight="15" x14ac:dyDescent="0.25"/>
  <cols>
    <col min="2" max="2" width="35.5703125" bestFit="1" customWidth="1"/>
    <col min="7" max="7" width="48.5703125" customWidth="1"/>
    <col min="10" max="10" width="25.7109375" customWidth="1"/>
    <col min="13" max="13" width="41.85546875" bestFit="1" customWidth="1"/>
  </cols>
  <sheetData>
    <row r="1" spans="1:13" ht="23.25" x14ac:dyDescent="0.35">
      <c r="A1" s="203" t="s">
        <v>868</v>
      </c>
      <c r="B1" s="203"/>
      <c r="C1" s="203"/>
      <c r="D1" s="203"/>
      <c r="E1" s="203"/>
      <c r="F1" s="203"/>
      <c r="G1" s="203"/>
      <c r="H1" s="203"/>
      <c r="I1" s="1"/>
      <c r="J1" s="1"/>
      <c r="K1" s="1"/>
      <c r="L1" s="1"/>
    </row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3" x14ac:dyDescent="0.25">
      <c r="A3" s="1"/>
      <c r="B3" s="204" t="s">
        <v>869</v>
      </c>
      <c r="C3" s="204"/>
      <c r="D3" s="204"/>
      <c r="E3" s="204"/>
      <c r="F3" s="204"/>
      <c r="G3" s="204"/>
      <c r="H3" s="1"/>
      <c r="I3" s="1"/>
      <c r="J3" s="1"/>
      <c r="K3" s="116" t="s">
        <v>808</v>
      </c>
      <c r="L3" s="116" t="s">
        <v>612</v>
      </c>
    </row>
    <row r="4" spans="1:13" ht="18.75" customHeight="1" x14ac:dyDescent="0.25">
      <c r="A4" s="1"/>
      <c r="B4" s="115"/>
      <c r="C4" s="115"/>
      <c r="D4" s="115"/>
      <c r="E4" s="115"/>
      <c r="F4" s="115"/>
      <c r="G4" s="115"/>
      <c r="H4" s="1"/>
      <c r="I4" s="1"/>
      <c r="J4" s="205" t="s">
        <v>810</v>
      </c>
      <c r="K4" s="1">
        <v>0</v>
      </c>
      <c r="L4" s="1">
        <v>100</v>
      </c>
      <c r="M4" s="202" t="s">
        <v>904</v>
      </c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205"/>
      <c r="K5" s="118" t="s">
        <v>812</v>
      </c>
      <c r="L5" s="118" t="s">
        <v>813</v>
      </c>
      <c r="M5" s="202"/>
    </row>
    <row r="6" spans="1:13" x14ac:dyDescent="0.25">
      <c r="A6" s="1"/>
      <c r="B6" s="197" t="s">
        <v>870</v>
      </c>
      <c r="C6" s="198"/>
      <c r="D6" s="198"/>
      <c r="E6" s="198"/>
      <c r="F6" s="198"/>
      <c r="G6" s="198"/>
      <c r="H6" s="1"/>
      <c r="I6" s="1"/>
      <c r="J6" s="205" t="s">
        <v>816</v>
      </c>
      <c r="K6" s="1">
        <v>101</v>
      </c>
      <c r="L6" s="1">
        <v>128</v>
      </c>
      <c r="M6" s="202"/>
    </row>
    <row r="7" spans="1:13" x14ac:dyDescent="0.25">
      <c r="A7" s="1"/>
      <c r="B7" s="117" t="s">
        <v>806</v>
      </c>
      <c r="C7" s="117" t="s">
        <v>608</v>
      </c>
      <c r="D7" s="117" t="s">
        <v>811</v>
      </c>
      <c r="E7" s="117" t="s">
        <v>610</v>
      </c>
      <c r="F7" s="117" t="s">
        <v>614</v>
      </c>
      <c r="G7" s="117" t="s">
        <v>607</v>
      </c>
      <c r="H7" s="1"/>
      <c r="I7" s="1"/>
      <c r="J7" s="205"/>
      <c r="K7" s="118" t="s">
        <v>819</v>
      </c>
      <c r="L7" s="118" t="s">
        <v>820</v>
      </c>
      <c r="M7" s="202"/>
    </row>
    <row r="8" spans="1:13" x14ac:dyDescent="0.25">
      <c r="A8" s="1"/>
      <c r="B8" s="119" t="s">
        <v>871</v>
      </c>
      <c r="C8" s="119">
        <v>0</v>
      </c>
      <c r="D8" s="119">
        <v>6</v>
      </c>
      <c r="E8" s="1" t="s">
        <v>72</v>
      </c>
      <c r="F8" s="1" t="s">
        <v>72</v>
      </c>
      <c r="G8" s="1" t="s">
        <v>872</v>
      </c>
      <c r="H8" s="1"/>
      <c r="I8" s="1"/>
      <c r="K8" s="1"/>
      <c r="L8" s="1"/>
    </row>
    <row r="9" spans="1:13" x14ac:dyDescent="0.25">
      <c r="A9" s="1"/>
      <c r="B9" s="119" t="s">
        <v>873</v>
      </c>
      <c r="C9" s="119">
        <v>6</v>
      </c>
      <c r="D9" s="119">
        <v>5</v>
      </c>
      <c r="E9" s="1" t="s">
        <v>72</v>
      </c>
      <c r="F9" s="1" t="s">
        <v>72</v>
      </c>
      <c r="G9" s="1" t="s">
        <v>873</v>
      </c>
      <c r="H9" s="1"/>
      <c r="I9" s="1"/>
      <c r="J9" s="1"/>
      <c r="K9" s="1"/>
      <c r="L9" s="1"/>
    </row>
    <row r="10" spans="1:13" x14ac:dyDescent="0.25">
      <c r="A10" s="1"/>
      <c r="B10" s="119" t="s">
        <v>874</v>
      </c>
      <c r="C10" s="119">
        <v>11</v>
      </c>
      <c r="D10" s="119">
        <v>13</v>
      </c>
      <c r="E10" s="1" t="s">
        <v>72</v>
      </c>
      <c r="F10" s="1" t="s">
        <v>72</v>
      </c>
      <c r="G10" s="1" t="s">
        <v>874</v>
      </c>
      <c r="H10" s="1"/>
      <c r="I10" s="1"/>
      <c r="J10" s="1"/>
      <c r="K10" s="1"/>
      <c r="L10" s="1"/>
    </row>
    <row r="11" spans="1:13" x14ac:dyDescent="0.25">
      <c r="A11" s="1"/>
      <c r="B11" s="119" t="s">
        <v>943</v>
      </c>
      <c r="C11" s="119">
        <v>24</v>
      </c>
      <c r="D11" s="119">
        <v>8</v>
      </c>
      <c r="E11" s="1" t="s">
        <v>72</v>
      </c>
      <c r="F11" s="1" t="s">
        <v>72</v>
      </c>
      <c r="G11" s="1" t="s">
        <v>943</v>
      </c>
      <c r="H11" s="1"/>
      <c r="I11" s="1"/>
      <c r="J11" s="1"/>
      <c r="K11" s="1"/>
      <c r="L11" s="1"/>
    </row>
    <row r="12" spans="1:13" x14ac:dyDescent="0.25">
      <c r="A12" s="1"/>
      <c r="B12" s="1"/>
      <c r="C12" s="1"/>
      <c r="D12" s="1"/>
      <c r="E12" s="1"/>
      <c r="F12" s="98"/>
      <c r="G12" s="1"/>
      <c r="H12" s="1"/>
      <c r="I12" s="1"/>
      <c r="J12" s="1"/>
      <c r="K12" s="1"/>
      <c r="L12" s="1"/>
    </row>
    <row r="13" spans="1:13" x14ac:dyDescent="0.25">
      <c r="A13" s="1"/>
      <c r="B13" s="197" t="s">
        <v>875</v>
      </c>
      <c r="C13" s="198"/>
      <c r="D13" s="198"/>
      <c r="E13" s="198"/>
      <c r="F13" s="198"/>
      <c r="G13" s="198"/>
      <c r="H13" s="1"/>
      <c r="I13" s="1"/>
      <c r="J13" s="1"/>
      <c r="K13" s="1"/>
      <c r="L13" s="1"/>
    </row>
    <row r="14" spans="1:13" x14ac:dyDescent="0.25">
      <c r="A14" s="1"/>
      <c r="B14" s="117" t="s">
        <v>806</v>
      </c>
      <c r="C14" s="117" t="s">
        <v>608</v>
      </c>
      <c r="D14" s="117" t="s">
        <v>811</v>
      </c>
      <c r="E14" s="117" t="s">
        <v>610</v>
      </c>
      <c r="F14" s="117" t="s">
        <v>614</v>
      </c>
      <c r="G14" s="117" t="s">
        <v>607</v>
      </c>
      <c r="H14" s="1"/>
      <c r="I14" s="98"/>
      <c r="J14" s="1"/>
      <c r="K14" s="1"/>
      <c r="L14" s="1"/>
    </row>
    <row r="15" spans="1:13" ht="30" x14ac:dyDescent="0.25">
      <c r="A15" s="1"/>
      <c r="B15" s="125" t="s">
        <v>876</v>
      </c>
      <c r="C15" s="138">
        <v>0</v>
      </c>
      <c r="D15" s="138">
        <v>1</v>
      </c>
      <c r="E15" s="1" t="s">
        <v>72</v>
      </c>
      <c r="F15" s="1" t="s">
        <v>72</v>
      </c>
      <c r="G15" s="127" t="s">
        <v>877</v>
      </c>
      <c r="H15" s="1"/>
      <c r="I15" s="1"/>
      <c r="J15" s="1"/>
      <c r="K15" s="1"/>
      <c r="L15" s="1"/>
    </row>
    <row r="16" spans="1:13" ht="30" x14ac:dyDescent="0.25">
      <c r="A16" s="1"/>
      <c r="B16" s="125" t="s">
        <v>878</v>
      </c>
      <c r="C16" s="138">
        <v>1</v>
      </c>
      <c r="D16" s="138">
        <v>1</v>
      </c>
      <c r="E16" s="1" t="s">
        <v>72</v>
      </c>
      <c r="F16" s="1" t="s">
        <v>72</v>
      </c>
      <c r="G16" s="127" t="s">
        <v>879</v>
      </c>
      <c r="H16" s="1"/>
      <c r="I16" s="1"/>
      <c r="J16" s="1"/>
      <c r="K16" s="1"/>
      <c r="L16" s="1"/>
    </row>
    <row r="17" spans="1:12" ht="30" x14ac:dyDescent="0.25">
      <c r="A17" s="1"/>
      <c r="B17" s="125" t="s">
        <v>880</v>
      </c>
      <c r="C17" s="138">
        <v>2</v>
      </c>
      <c r="D17" s="138">
        <v>1</v>
      </c>
      <c r="E17" s="1" t="s">
        <v>72</v>
      </c>
      <c r="F17" s="1" t="s">
        <v>72</v>
      </c>
      <c r="G17" s="127" t="s">
        <v>881</v>
      </c>
      <c r="H17" s="1"/>
      <c r="I17" s="1"/>
      <c r="J17" s="1"/>
      <c r="K17" s="1"/>
      <c r="L17" s="1"/>
    </row>
    <row r="18" spans="1:12" ht="60" x14ac:dyDescent="0.25">
      <c r="A18" s="1"/>
      <c r="B18" s="125" t="s">
        <v>882</v>
      </c>
      <c r="C18" s="138">
        <v>3</v>
      </c>
      <c r="D18" s="138">
        <v>1</v>
      </c>
      <c r="E18" s="1" t="s">
        <v>72</v>
      </c>
      <c r="F18" s="1" t="s">
        <v>72</v>
      </c>
      <c r="G18" s="127" t="s">
        <v>883</v>
      </c>
      <c r="H18" s="1"/>
      <c r="I18" s="1"/>
      <c r="J18" s="1"/>
      <c r="K18" s="1"/>
      <c r="L18" s="1"/>
    </row>
    <row r="19" spans="1:12" ht="30" x14ac:dyDescent="0.25">
      <c r="A19" s="1"/>
      <c r="B19" s="128" t="s">
        <v>884</v>
      </c>
      <c r="C19" s="138">
        <v>4</v>
      </c>
      <c r="D19" s="138">
        <v>1</v>
      </c>
      <c r="E19" s="1" t="s">
        <v>72</v>
      </c>
      <c r="F19" s="1" t="s">
        <v>72</v>
      </c>
      <c r="G19" s="127" t="s">
        <v>885</v>
      </c>
      <c r="H19" s="1"/>
      <c r="I19" s="1"/>
      <c r="J19" s="1"/>
      <c r="K19" s="1"/>
      <c r="L19" s="1"/>
    </row>
    <row r="20" spans="1:12" ht="30" x14ac:dyDescent="0.25">
      <c r="A20" s="1"/>
      <c r="B20" s="128" t="s">
        <v>886</v>
      </c>
      <c r="C20" s="138">
        <v>5</v>
      </c>
      <c r="D20" s="138">
        <v>1</v>
      </c>
      <c r="E20" s="1" t="s">
        <v>72</v>
      </c>
      <c r="F20" s="1" t="s">
        <v>72</v>
      </c>
      <c r="G20" s="127" t="s">
        <v>887</v>
      </c>
      <c r="H20" s="1"/>
      <c r="I20" s="1"/>
      <c r="J20" s="1"/>
      <c r="K20" s="1"/>
      <c r="L20" s="1"/>
    </row>
    <row r="21" spans="1:12" x14ac:dyDescent="0.25">
      <c r="A21" s="1"/>
      <c r="B21" s="125" t="s">
        <v>888</v>
      </c>
      <c r="C21" s="138">
        <v>8</v>
      </c>
      <c r="D21" s="138">
        <v>16</v>
      </c>
      <c r="E21" s="1" t="s">
        <v>72</v>
      </c>
      <c r="F21" s="1" t="s">
        <v>72</v>
      </c>
      <c r="G21" s="119" t="s">
        <v>889</v>
      </c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97" t="s">
        <v>890</v>
      </c>
      <c r="C24" s="197"/>
      <c r="D24" s="197"/>
      <c r="E24" s="197"/>
      <c r="F24" s="197"/>
      <c r="G24" s="197"/>
      <c r="H24" s="1"/>
      <c r="I24" s="1"/>
      <c r="J24" s="1"/>
      <c r="K24" s="1"/>
      <c r="L24" s="1"/>
    </row>
    <row r="25" spans="1:12" x14ac:dyDescent="0.25">
      <c r="A25" s="1"/>
      <c r="B25" s="117" t="s">
        <v>806</v>
      </c>
      <c r="C25" s="117" t="s">
        <v>608</v>
      </c>
      <c r="D25" s="117" t="s">
        <v>811</v>
      </c>
      <c r="E25" s="117" t="s">
        <v>610</v>
      </c>
      <c r="F25" s="117" t="s">
        <v>614</v>
      </c>
      <c r="G25" s="117" t="s">
        <v>607</v>
      </c>
      <c r="H25" s="1"/>
      <c r="I25" s="1"/>
      <c r="J25" s="1"/>
      <c r="K25" s="1"/>
      <c r="L25" s="1"/>
    </row>
    <row r="26" spans="1:12" x14ac:dyDescent="0.25">
      <c r="A26" s="1"/>
      <c r="B26" s="119" t="s">
        <v>891</v>
      </c>
      <c r="C26" s="1">
        <v>0</v>
      </c>
      <c r="D26" s="1">
        <v>16</v>
      </c>
      <c r="E26" s="1" t="s">
        <v>616</v>
      </c>
      <c r="F26" s="1" t="s">
        <v>858</v>
      </c>
      <c r="G26" s="1" t="s">
        <v>892</v>
      </c>
      <c r="H26" s="1"/>
      <c r="I26" s="1"/>
      <c r="J26" s="1"/>
      <c r="K26" s="1"/>
      <c r="L26" s="1"/>
    </row>
    <row r="27" spans="1:12" x14ac:dyDescent="0.25">
      <c r="A27" s="1"/>
      <c r="B27" s="119" t="s">
        <v>893</v>
      </c>
      <c r="C27" s="1">
        <v>16</v>
      </c>
      <c r="D27" s="1">
        <v>16</v>
      </c>
      <c r="E27" s="1" t="s">
        <v>729</v>
      </c>
      <c r="F27" s="1" t="s">
        <v>824</v>
      </c>
      <c r="G27" s="1" t="s">
        <v>894</v>
      </c>
      <c r="H27" s="1"/>
      <c r="I27" s="1"/>
      <c r="J27" s="1"/>
      <c r="K27" s="1"/>
      <c r="L27" s="1"/>
    </row>
    <row r="28" spans="1:12" x14ac:dyDescent="0.25">
      <c r="A28" s="1"/>
      <c r="B28" s="119" t="s">
        <v>895</v>
      </c>
      <c r="C28" s="1">
        <v>32</v>
      </c>
      <c r="D28" s="1">
        <v>16</v>
      </c>
      <c r="E28" s="1" t="s">
        <v>616</v>
      </c>
      <c r="F28" s="1" t="s">
        <v>858</v>
      </c>
      <c r="G28" s="1" t="s">
        <v>896</v>
      </c>
      <c r="H28" s="1"/>
      <c r="I28" s="1"/>
      <c r="J28" s="1"/>
      <c r="K28" s="1"/>
      <c r="L28" s="1"/>
    </row>
    <row r="29" spans="1:12" x14ac:dyDescent="0.25">
      <c r="A29" s="1"/>
      <c r="B29" s="119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19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97" t="s">
        <v>897</v>
      </c>
      <c r="C31" s="197"/>
      <c r="D31" s="197"/>
      <c r="E31" s="197"/>
      <c r="F31" s="197"/>
      <c r="G31" s="197"/>
      <c r="H31" s="1"/>
      <c r="I31" s="1"/>
      <c r="J31" s="1"/>
      <c r="K31" s="1"/>
      <c r="L31" s="1"/>
    </row>
    <row r="32" spans="1:12" x14ac:dyDescent="0.25">
      <c r="A32" s="1"/>
      <c r="B32" s="117" t="s">
        <v>806</v>
      </c>
      <c r="C32" s="117" t="s">
        <v>608</v>
      </c>
      <c r="D32" s="117" t="s">
        <v>811</v>
      </c>
      <c r="E32" s="117" t="s">
        <v>610</v>
      </c>
      <c r="F32" s="117" t="s">
        <v>614</v>
      </c>
      <c r="G32" s="117" t="s">
        <v>607</v>
      </c>
      <c r="H32" s="1"/>
      <c r="I32" s="1"/>
      <c r="J32" s="1"/>
      <c r="K32" s="1"/>
      <c r="L32" s="1"/>
    </row>
    <row r="33" spans="1:12" x14ac:dyDescent="0.25">
      <c r="A33" s="1"/>
      <c r="B33" s="119" t="s">
        <v>898</v>
      </c>
      <c r="C33" s="137">
        <v>0</v>
      </c>
      <c r="D33" s="137">
        <v>16</v>
      </c>
      <c r="E33" s="1" t="s">
        <v>850</v>
      </c>
      <c r="F33" s="1" t="s">
        <v>824</v>
      </c>
      <c r="G33" s="1" t="s">
        <v>899</v>
      </c>
      <c r="H33" s="1"/>
      <c r="I33" s="1"/>
      <c r="J33" s="1"/>
      <c r="K33" s="1"/>
      <c r="L33" s="1"/>
    </row>
    <row r="34" spans="1:12" x14ac:dyDescent="0.25">
      <c r="A34" s="1"/>
      <c r="B34" s="119" t="s">
        <v>900</v>
      </c>
      <c r="C34" s="137">
        <v>16</v>
      </c>
      <c r="D34" s="137">
        <v>16</v>
      </c>
      <c r="E34" s="1" t="s">
        <v>850</v>
      </c>
      <c r="F34" s="1" t="s">
        <v>824</v>
      </c>
      <c r="G34" s="1" t="s">
        <v>901</v>
      </c>
      <c r="H34" s="1"/>
      <c r="I34" s="1"/>
      <c r="J34" s="1"/>
      <c r="K34" s="1"/>
      <c r="L34" s="1"/>
    </row>
    <row r="35" spans="1:12" x14ac:dyDescent="0.25">
      <c r="A35" s="1"/>
      <c r="B35" s="119" t="s">
        <v>902</v>
      </c>
      <c r="C35" s="137">
        <v>32</v>
      </c>
      <c r="D35" s="137">
        <v>16</v>
      </c>
      <c r="E35" s="1" t="s">
        <v>850</v>
      </c>
      <c r="F35" s="1" t="s">
        <v>824</v>
      </c>
      <c r="G35" s="1" t="s">
        <v>903</v>
      </c>
      <c r="H35" s="1"/>
      <c r="I35" s="1"/>
      <c r="J35" s="1"/>
      <c r="K35" s="1"/>
      <c r="L35" s="1"/>
    </row>
    <row r="36" spans="1:12" x14ac:dyDescent="0.25">
      <c r="A36" s="1"/>
      <c r="B36" s="119"/>
      <c r="C36" s="119"/>
      <c r="D36" s="119"/>
      <c r="E36" s="120"/>
      <c r="F36" s="119"/>
      <c r="G36" s="119"/>
      <c r="H36" s="1"/>
      <c r="I36" s="1"/>
      <c r="J36" s="1"/>
      <c r="K36" s="1"/>
      <c r="L36" s="1"/>
    </row>
  </sheetData>
  <mergeCells count="9">
    <mergeCell ref="B24:G24"/>
    <mergeCell ref="B31:G31"/>
    <mergeCell ref="M4:M7"/>
    <mergeCell ref="A1:H1"/>
    <mergeCell ref="B3:G3"/>
    <mergeCell ref="J4:J5"/>
    <mergeCell ref="B6:G6"/>
    <mergeCell ref="J6:J7"/>
    <mergeCell ref="B13:G1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17312-8523-4D67-98F8-AEDFF824D8DD}">
  <dimension ref="A3:M15"/>
  <sheetViews>
    <sheetView workbookViewId="0">
      <selection activeCell="C4" sqref="C4"/>
    </sheetView>
  </sheetViews>
  <sheetFormatPr baseColWidth="10" defaultRowHeight="15" x14ac:dyDescent="0.25"/>
  <cols>
    <col min="1" max="1" width="11.42578125" style="1"/>
    <col min="3" max="3" width="12.7109375" bestFit="1" customWidth="1"/>
    <col min="4" max="4" width="12.7109375" style="1" bestFit="1" customWidth="1"/>
    <col min="5" max="5" width="11.42578125" style="1"/>
    <col min="8" max="8" width="12.5703125" bestFit="1" customWidth="1"/>
  </cols>
  <sheetData>
    <row r="3" spans="1:13" x14ac:dyDescent="0.25">
      <c r="A3" s="136">
        <v>12</v>
      </c>
      <c r="B3" s="136">
        <v>11</v>
      </c>
      <c r="C3" s="136">
        <v>10</v>
      </c>
      <c r="D3" s="136">
        <v>9</v>
      </c>
      <c r="E3" s="136">
        <v>8</v>
      </c>
      <c r="F3" s="136">
        <v>7</v>
      </c>
      <c r="G3" s="136">
        <v>6</v>
      </c>
      <c r="H3" s="136">
        <v>5</v>
      </c>
      <c r="I3" s="136">
        <v>4</v>
      </c>
      <c r="J3" s="136">
        <v>3</v>
      </c>
      <c r="K3" s="136">
        <v>2</v>
      </c>
      <c r="L3" s="136">
        <v>1</v>
      </c>
      <c r="M3" s="136">
        <v>0</v>
      </c>
    </row>
    <row r="4" spans="1:13" x14ac:dyDescent="0.25">
      <c r="A4" s="206" t="s">
        <v>923</v>
      </c>
      <c r="B4" s="206"/>
      <c r="C4" s="2" t="s">
        <v>917</v>
      </c>
      <c r="D4" s="2" t="s">
        <v>918</v>
      </c>
      <c r="E4" s="206" t="s">
        <v>919</v>
      </c>
      <c r="F4" s="206"/>
      <c r="G4" s="206" t="s">
        <v>920</v>
      </c>
      <c r="H4" s="206"/>
      <c r="I4" s="206"/>
      <c r="J4" s="2" t="s">
        <v>921</v>
      </c>
      <c r="K4" s="206" t="s">
        <v>922</v>
      </c>
      <c r="L4" s="206"/>
      <c r="M4" s="206"/>
    </row>
    <row r="5" spans="1:13" ht="15" customHeight="1" x14ac:dyDescent="0.25">
      <c r="C5" s="125" t="s">
        <v>936</v>
      </c>
      <c r="D5" s="125" t="s">
        <v>941</v>
      </c>
      <c r="E5" s="207" t="s">
        <v>924</v>
      </c>
      <c r="F5" s="207"/>
      <c r="G5" s="165" t="s">
        <v>926</v>
      </c>
      <c r="H5" s="165"/>
      <c r="I5" s="165"/>
      <c r="J5" s="136" t="s">
        <v>932</v>
      </c>
      <c r="K5" s="165" t="s">
        <v>934</v>
      </c>
      <c r="L5" s="165"/>
      <c r="M5" s="165"/>
    </row>
    <row r="6" spans="1:13" x14ac:dyDescent="0.25">
      <c r="C6" s="2" t="s">
        <v>937</v>
      </c>
      <c r="D6" s="2" t="s">
        <v>940</v>
      </c>
      <c r="E6" s="207" t="s">
        <v>938</v>
      </c>
      <c r="F6" s="207"/>
      <c r="G6" s="165" t="s">
        <v>927</v>
      </c>
      <c r="H6" s="165"/>
      <c r="I6" s="165"/>
      <c r="J6" s="136" t="s">
        <v>933</v>
      </c>
      <c r="K6" s="165" t="s">
        <v>935</v>
      </c>
      <c r="L6" s="165"/>
      <c r="M6" s="165"/>
    </row>
    <row r="7" spans="1:13" x14ac:dyDescent="0.25">
      <c r="E7" s="207" t="s">
        <v>939</v>
      </c>
      <c r="F7" s="207"/>
      <c r="G7" s="165" t="s">
        <v>928</v>
      </c>
      <c r="H7" s="165"/>
      <c r="I7" s="165"/>
      <c r="K7" s="165" t="s">
        <v>928</v>
      </c>
      <c r="L7" s="165"/>
      <c r="M7" s="165"/>
    </row>
    <row r="8" spans="1:13" x14ac:dyDescent="0.25">
      <c r="E8" s="207" t="s">
        <v>925</v>
      </c>
      <c r="F8" s="207"/>
      <c r="G8" s="165" t="s">
        <v>925</v>
      </c>
      <c r="H8" s="165"/>
      <c r="I8" s="165"/>
      <c r="K8" s="165" t="s">
        <v>925</v>
      </c>
      <c r="L8" s="165"/>
      <c r="M8" s="165"/>
    </row>
    <row r="9" spans="1:13" x14ac:dyDescent="0.25">
      <c r="E9" s="127"/>
      <c r="F9" s="127"/>
      <c r="G9" s="165" t="s">
        <v>929</v>
      </c>
      <c r="H9" s="165"/>
      <c r="I9" s="165"/>
      <c r="K9" s="165" t="s">
        <v>929</v>
      </c>
      <c r="L9" s="165"/>
      <c r="M9" s="165"/>
    </row>
    <row r="10" spans="1:13" x14ac:dyDescent="0.25">
      <c r="E10" s="127"/>
      <c r="F10" s="127"/>
      <c r="G10" s="165" t="s">
        <v>930</v>
      </c>
      <c r="H10" s="165"/>
      <c r="I10" s="165"/>
      <c r="K10" s="165" t="s">
        <v>930</v>
      </c>
      <c r="L10" s="165"/>
      <c r="M10" s="165"/>
    </row>
    <row r="11" spans="1:13" x14ac:dyDescent="0.25">
      <c r="G11" s="165" t="s">
        <v>931</v>
      </c>
      <c r="H11" s="165"/>
      <c r="I11" s="165"/>
      <c r="K11" s="165" t="s">
        <v>931</v>
      </c>
      <c r="L11" s="165"/>
      <c r="M11" s="165"/>
    </row>
    <row r="12" spans="1:13" x14ac:dyDescent="0.25">
      <c r="G12" s="139"/>
      <c r="H12" s="139"/>
      <c r="I12" s="139"/>
    </row>
    <row r="13" spans="1:13" x14ac:dyDescent="0.25">
      <c r="G13" s="139"/>
      <c r="H13" s="139"/>
      <c r="I13" s="139"/>
    </row>
    <row r="14" spans="1:13" x14ac:dyDescent="0.25">
      <c r="G14" s="1"/>
      <c r="H14" s="1"/>
      <c r="I14" s="1"/>
    </row>
    <row r="15" spans="1:13" x14ac:dyDescent="0.25">
      <c r="G15" s="1"/>
      <c r="H15" s="1"/>
      <c r="I15" s="1"/>
    </row>
  </sheetData>
  <mergeCells count="22">
    <mergeCell ref="G10:I10"/>
    <mergeCell ref="G11:I11"/>
    <mergeCell ref="K6:M6"/>
    <mergeCell ref="K7:M7"/>
    <mergeCell ref="K8:M8"/>
    <mergeCell ref="K9:M9"/>
    <mergeCell ref="K10:M10"/>
    <mergeCell ref="K11:M11"/>
    <mergeCell ref="G9:I9"/>
    <mergeCell ref="E7:F7"/>
    <mergeCell ref="E8:F8"/>
    <mergeCell ref="G6:I6"/>
    <mergeCell ref="G7:I7"/>
    <mergeCell ref="G8:I8"/>
    <mergeCell ref="E6:F6"/>
    <mergeCell ref="K4:M4"/>
    <mergeCell ref="K5:M5"/>
    <mergeCell ref="A4:B4"/>
    <mergeCell ref="G4:I4"/>
    <mergeCell ref="G5:I5"/>
    <mergeCell ref="E4:F4"/>
    <mergeCell ref="E5:F5"/>
  </mergeCells>
  <pageMargins left="0.7" right="0.7" top="0.75" bottom="0.75" header="0.3" footer="0.3"/>
  <pageSetup paperSize="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Info</vt:lpstr>
      <vt:lpstr>Acronyms</vt:lpstr>
      <vt:lpstr>SYS_Req</vt:lpstr>
      <vt:lpstr>SW_Req</vt:lpstr>
      <vt:lpstr>HW_Req</vt:lpstr>
      <vt:lpstr>SW_Arch</vt:lpstr>
      <vt:lpstr>HW_Arch</vt:lpstr>
      <vt:lpstr>Naming_Convention</vt:lpstr>
      <vt:lpstr>IO</vt:lpstr>
      <vt:lpstr>Registers</vt:lpstr>
      <vt:lpstr>Messages to EPC</vt:lpstr>
      <vt:lpstr>Messages from EPC</vt:lpstr>
      <vt:lpstr>HW_Vers</vt:lpstr>
      <vt:lpstr>ID</vt:lpstr>
      <vt:lpstr>Req._Description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Roberto Aldea</cp:lastModifiedBy>
  <cp:lastPrinted>2023-05-30T09:46:47Z</cp:lastPrinted>
  <dcterms:created xsi:type="dcterms:W3CDTF">2015-06-05T18:19:34Z</dcterms:created>
  <dcterms:modified xsi:type="dcterms:W3CDTF">2023-08-24T10:28:01Z</dcterms:modified>
</cp:coreProperties>
</file>